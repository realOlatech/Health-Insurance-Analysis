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6D83836D-1B7C-4897-A4C6-92D47A3449BF}" xr6:coauthVersionLast="47" xr6:coauthVersionMax="47" xr10:uidLastSave="{00000000-0000-0000-0000-000000000000}"/>
  <bookViews>
    <workbookView xWindow="-110" yWindow="-110" windowWidth="19420" windowHeight="10300" tabRatio="598" activeTab="2" xr2:uid="{00000000-000D-0000-FFFF-FFFF00000000}"/>
  </bookViews>
  <sheets>
    <sheet name="in" sheetId="1" r:id="rId1"/>
    <sheet name="PCU" sheetId="5" r:id="rId2"/>
    <sheet name="Dashboard" sheetId="6" r:id="rId3"/>
  </sheets>
  <definedNames>
    <definedName name="Slicer_Neighborhoo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3" i="1" l="1"/>
  <c r="B93" i="1"/>
  <c r="BQ2" i="1"/>
  <c r="BQ3" i="1"/>
  <c r="BQ4" i="1"/>
  <c r="BQ5" i="1"/>
  <c r="BQ6" i="1"/>
  <c r="BQ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34" i="1"/>
  <c r="BQ35" i="1"/>
  <c r="BQ36" i="1"/>
  <c r="BQ37" i="1"/>
  <c r="BQ38" i="1"/>
  <c r="BQ39" i="1"/>
  <c r="BQ40" i="1"/>
  <c r="BQ41" i="1"/>
  <c r="BQ42" i="1"/>
  <c r="BQ43" i="1"/>
  <c r="BQ44" i="1"/>
  <c r="BQ45" i="1"/>
  <c r="BQ46" i="1"/>
  <c r="BQ47" i="1"/>
  <c r="BQ48" i="1"/>
  <c r="BQ49" i="1"/>
  <c r="BQ50" i="1"/>
  <c r="BQ51" i="1"/>
  <c r="BQ52" i="1"/>
  <c r="BQ53" i="1"/>
  <c r="BQ54" i="1"/>
  <c r="BQ55"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84" i="1"/>
  <c r="BQ85" i="1"/>
  <c r="BQ86" i="1"/>
  <c r="BQ87" i="1"/>
  <c r="BQ88" i="1"/>
  <c r="BQ89" i="1"/>
  <c r="BQ90" i="1"/>
  <c r="BQ91" i="1"/>
  <c r="BQ92" i="1"/>
  <c r="BP2"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AU2" i="1"/>
  <c r="AU10" i="1"/>
  <c r="AU17" i="1"/>
  <c r="AU18" i="1"/>
  <c r="AU25" i="1"/>
  <c r="AU34" i="1"/>
  <c r="AU42" i="1"/>
  <c r="AU49" i="1"/>
  <c r="AU50" i="1"/>
  <c r="AU74" i="1"/>
  <c r="AU81" i="1"/>
  <c r="AU82" i="1"/>
  <c r="AT2" i="1"/>
  <c r="AT3" i="1"/>
  <c r="AU3" i="1" s="1"/>
  <c r="AT4" i="1"/>
  <c r="AU4" i="1" s="1"/>
  <c r="AT5" i="1"/>
  <c r="AU5" i="1" s="1"/>
  <c r="AT6" i="1"/>
  <c r="AU6" i="1" s="1"/>
  <c r="AT7" i="1"/>
  <c r="AU7" i="1" s="1"/>
  <c r="AT8" i="1"/>
  <c r="AU8" i="1" s="1"/>
  <c r="AT9" i="1"/>
  <c r="AU9" i="1" s="1"/>
  <c r="AT10" i="1"/>
  <c r="AT11" i="1"/>
  <c r="AU11" i="1" s="1"/>
  <c r="AT12" i="1"/>
  <c r="AU12" i="1" s="1"/>
  <c r="AT13" i="1"/>
  <c r="AU13" i="1" s="1"/>
  <c r="AT14" i="1"/>
  <c r="AU14" i="1" s="1"/>
  <c r="AT15" i="1"/>
  <c r="AU15" i="1" s="1"/>
  <c r="AT16" i="1"/>
  <c r="AU16" i="1" s="1"/>
  <c r="AT17" i="1"/>
  <c r="AT18" i="1"/>
  <c r="AT19" i="1"/>
  <c r="AU19" i="1" s="1"/>
  <c r="AT20" i="1"/>
  <c r="AU20" i="1" s="1"/>
  <c r="AT21" i="1"/>
  <c r="AU21" i="1" s="1"/>
  <c r="AT22" i="1"/>
  <c r="AU22" i="1" s="1"/>
  <c r="AT23" i="1"/>
  <c r="AU23" i="1" s="1"/>
  <c r="AT24" i="1"/>
  <c r="AU24" i="1" s="1"/>
  <c r="AT25" i="1"/>
  <c r="AT26" i="1"/>
  <c r="AU26" i="1" s="1"/>
  <c r="AT27" i="1"/>
  <c r="AU27" i="1" s="1"/>
  <c r="AT28" i="1"/>
  <c r="AU28" i="1" s="1"/>
  <c r="AT29" i="1"/>
  <c r="AU29" i="1" s="1"/>
  <c r="AT30" i="1"/>
  <c r="AU30" i="1" s="1"/>
  <c r="AT31" i="1"/>
  <c r="AU31" i="1" s="1"/>
  <c r="AT32" i="1"/>
  <c r="AU32" i="1" s="1"/>
  <c r="AT33" i="1"/>
  <c r="AU33" i="1" s="1"/>
  <c r="AT34" i="1"/>
  <c r="AT35" i="1"/>
  <c r="AU35" i="1" s="1"/>
  <c r="AT36" i="1"/>
  <c r="AU36" i="1" s="1"/>
  <c r="AT37" i="1"/>
  <c r="AU37" i="1" s="1"/>
  <c r="AT38" i="1"/>
  <c r="AU38" i="1" s="1"/>
  <c r="AT39" i="1"/>
  <c r="AU39" i="1" s="1"/>
  <c r="AT40" i="1"/>
  <c r="AU40" i="1" s="1"/>
  <c r="AT41" i="1"/>
  <c r="AU41" i="1" s="1"/>
  <c r="AT42" i="1"/>
  <c r="AT43" i="1"/>
  <c r="AU43" i="1" s="1"/>
  <c r="AT44" i="1"/>
  <c r="AU44" i="1" s="1"/>
  <c r="AT45" i="1"/>
  <c r="AU45" i="1" s="1"/>
  <c r="AT46" i="1"/>
  <c r="AU46" i="1" s="1"/>
  <c r="AT47" i="1"/>
  <c r="AU47" i="1" s="1"/>
  <c r="AT48" i="1"/>
  <c r="AU48" i="1" s="1"/>
  <c r="AT49" i="1"/>
  <c r="AT50" i="1"/>
  <c r="AT51" i="1"/>
  <c r="AU51" i="1" s="1"/>
  <c r="AT52" i="1"/>
  <c r="AU52" i="1" s="1"/>
  <c r="AT53" i="1"/>
  <c r="AU53" i="1" s="1"/>
  <c r="AT54" i="1"/>
  <c r="AU54" i="1" s="1"/>
  <c r="AT55" i="1"/>
  <c r="AU55" i="1" s="1"/>
  <c r="AT56" i="1"/>
  <c r="AU56" i="1" s="1"/>
  <c r="AT57" i="1"/>
  <c r="AU57" i="1" s="1"/>
  <c r="AT58" i="1"/>
  <c r="AU58" i="1" s="1"/>
  <c r="AT59" i="1"/>
  <c r="AU59" i="1" s="1"/>
  <c r="AT60" i="1"/>
  <c r="AU60" i="1" s="1"/>
  <c r="AT61" i="1"/>
  <c r="AU61" i="1" s="1"/>
  <c r="AT62" i="1"/>
  <c r="AU62" i="1" s="1"/>
  <c r="AT63" i="1"/>
  <c r="AU63" i="1" s="1"/>
  <c r="AT64" i="1"/>
  <c r="AU64" i="1" s="1"/>
  <c r="AT65" i="1"/>
  <c r="AU65" i="1" s="1"/>
  <c r="AT66" i="1"/>
  <c r="AU66" i="1" s="1"/>
  <c r="AT67" i="1"/>
  <c r="AU67" i="1" s="1"/>
  <c r="AT68" i="1"/>
  <c r="AU68" i="1" s="1"/>
  <c r="AT69" i="1"/>
  <c r="AU69" i="1" s="1"/>
  <c r="AT70" i="1"/>
  <c r="AU70" i="1" s="1"/>
  <c r="AT71" i="1"/>
  <c r="AU71" i="1" s="1"/>
  <c r="AT72" i="1"/>
  <c r="AU72" i="1" s="1"/>
  <c r="AT73" i="1"/>
  <c r="AU73" i="1" s="1"/>
  <c r="AT74" i="1"/>
  <c r="AT75" i="1"/>
  <c r="AU75" i="1" s="1"/>
  <c r="AT76" i="1"/>
  <c r="AU76" i="1" s="1"/>
  <c r="AT77" i="1"/>
  <c r="AU77" i="1" s="1"/>
  <c r="AT78" i="1"/>
  <c r="AU78" i="1" s="1"/>
  <c r="AT79" i="1"/>
  <c r="AU79" i="1" s="1"/>
  <c r="AT80" i="1"/>
  <c r="AU80" i="1" s="1"/>
  <c r="AT81" i="1"/>
  <c r="AT82" i="1"/>
  <c r="AT83" i="1"/>
  <c r="AU83" i="1" s="1"/>
  <c r="AT84" i="1"/>
  <c r="AU84" i="1" s="1"/>
  <c r="AT85" i="1"/>
  <c r="AU85" i="1" s="1"/>
  <c r="AT86" i="1"/>
  <c r="AU86" i="1" s="1"/>
  <c r="AT87" i="1"/>
  <c r="AU87" i="1" s="1"/>
  <c r="AT88" i="1"/>
  <c r="AU88" i="1" s="1"/>
  <c r="AT89" i="1"/>
  <c r="AU89" i="1" s="1"/>
  <c r="AT90" i="1"/>
  <c r="AU90" i="1" s="1"/>
  <c r="AT91" i="1"/>
  <c r="AU91" i="1" s="1"/>
  <c r="AT92" i="1"/>
  <c r="AU92" i="1" s="1"/>
  <c r="Z83" i="1"/>
  <c r="Y2" i="1"/>
  <c r="Z2" i="1" s="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43" i="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Y84" i="1"/>
  <c r="Z84" i="1" s="1"/>
  <c r="Y85" i="1"/>
  <c r="Z85" i="1" s="1"/>
  <c r="Y86" i="1"/>
  <c r="Z86" i="1" s="1"/>
  <c r="Y87" i="1"/>
  <c r="Z87" i="1" s="1"/>
  <c r="Y88" i="1"/>
  <c r="Z88" i="1" s="1"/>
  <c r="Y89" i="1"/>
  <c r="Z89" i="1" s="1"/>
  <c r="Y90" i="1"/>
  <c r="Z90" i="1" s="1"/>
  <c r="Y91" i="1"/>
  <c r="Z91" i="1" s="1"/>
  <c r="Y92" i="1"/>
  <c r="Z92" i="1" s="1"/>
  <c r="BO2" i="1"/>
  <c r="BO3" i="1"/>
  <c r="BO4" i="1"/>
  <c r="BO5" i="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53" i="1"/>
  <c r="BO54" i="1"/>
  <c r="BO55"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84" i="1"/>
  <c r="BO85" i="1"/>
  <c r="BO86" i="1"/>
  <c r="BO87" i="1"/>
  <c r="BO88" i="1"/>
  <c r="BO89" i="1"/>
  <c r="BO90" i="1"/>
  <c r="BO91" i="1"/>
  <c r="BO92" i="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CF2" i="1"/>
  <c r="CG2" i="1" s="1"/>
  <c r="CF3" i="1"/>
  <c r="CG3" i="1" s="1"/>
  <c r="CF4" i="1"/>
  <c r="CG4" i="1" s="1"/>
  <c r="CF5" i="1"/>
  <c r="CG5" i="1" s="1"/>
  <c r="CF6" i="1"/>
  <c r="CG6" i="1" s="1"/>
  <c r="CF7" i="1"/>
  <c r="CG7" i="1" s="1"/>
  <c r="CF8" i="1"/>
  <c r="CG8" i="1" s="1"/>
  <c r="CF9" i="1"/>
  <c r="CG9" i="1" s="1"/>
  <c r="CF10" i="1"/>
  <c r="CG10" i="1" s="1"/>
  <c r="CF11" i="1"/>
  <c r="CG11" i="1" s="1"/>
  <c r="CF12" i="1"/>
  <c r="CG12" i="1" s="1"/>
  <c r="CF13" i="1"/>
  <c r="CG13" i="1" s="1"/>
  <c r="CF14" i="1"/>
  <c r="CG14" i="1" s="1"/>
  <c r="CF15" i="1"/>
  <c r="CG15" i="1" s="1"/>
  <c r="CF16" i="1"/>
  <c r="CG16" i="1" s="1"/>
  <c r="CF17" i="1"/>
  <c r="CG17" i="1" s="1"/>
  <c r="CF18" i="1"/>
  <c r="CG18" i="1" s="1"/>
  <c r="CF19" i="1"/>
  <c r="CG19" i="1" s="1"/>
  <c r="CF20" i="1"/>
  <c r="CG20" i="1" s="1"/>
  <c r="CF21" i="1"/>
  <c r="CG21" i="1" s="1"/>
  <c r="CF22" i="1"/>
  <c r="CG22" i="1" s="1"/>
  <c r="CF23" i="1"/>
  <c r="CG23" i="1" s="1"/>
  <c r="CF24" i="1"/>
  <c r="CG24" i="1" s="1"/>
  <c r="CF25" i="1"/>
  <c r="CG25" i="1" s="1"/>
  <c r="CF26" i="1"/>
  <c r="CG26" i="1" s="1"/>
  <c r="CF27" i="1"/>
  <c r="CG27" i="1" s="1"/>
  <c r="CF28" i="1"/>
  <c r="CG28" i="1" s="1"/>
  <c r="CF29" i="1"/>
  <c r="CG29" i="1" s="1"/>
  <c r="CF30" i="1"/>
  <c r="CG30" i="1" s="1"/>
  <c r="CF31" i="1"/>
  <c r="CG31" i="1" s="1"/>
  <c r="CF32" i="1"/>
  <c r="CG32" i="1" s="1"/>
  <c r="CF33" i="1"/>
  <c r="CG33" i="1" s="1"/>
  <c r="CF34" i="1"/>
  <c r="CG34" i="1" s="1"/>
  <c r="CF35" i="1"/>
  <c r="CG35" i="1" s="1"/>
  <c r="CF36" i="1"/>
  <c r="CG36" i="1" s="1"/>
  <c r="CF37" i="1"/>
  <c r="CG37" i="1" s="1"/>
  <c r="CF38" i="1"/>
  <c r="CG38" i="1" s="1"/>
  <c r="CF39" i="1"/>
  <c r="CG39" i="1" s="1"/>
  <c r="CF40" i="1"/>
  <c r="CG40" i="1" s="1"/>
  <c r="CF41" i="1"/>
  <c r="CG41" i="1" s="1"/>
  <c r="CF42" i="1"/>
  <c r="CG42" i="1" s="1"/>
  <c r="CF43" i="1"/>
  <c r="CG43" i="1" s="1"/>
  <c r="CF44" i="1"/>
  <c r="CG44" i="1" s="1"/>
  <c r="CF45" i="1"/>
  <c r="CG45" i="1" s="1"/>
  <c r="CF46" i="1"/>
  <c r="CG46" i="1" s="1"/>
  <c r="CF47" i="1"/>
  <c r="CG47" i="1" s="1"/>
  <c r="CF48" i="1"/>
  <c r="CG48" i="1" s="1"/>
  <c r="CF49" i="1"/>
  <c r="CG49" i="1" s="1"/>
  <c r="CF50" i="1"/>
  <c r="CG50" i="1" s="1"/>
  <c r="CF51" i="1"/>
  <c r="CG51" i="1" s="1"/>
  <c r="CF52" i="1"/>
  <c r="CG52" i="1" s="1"/>
  <c r="CF53" i="1"/>
  <c r="CG53" i="1" s="1"/>
  <c r="CF54" i="1"/>
  <c r="CG54" i="1" s="1"/>
  <c r="CF55" i="1"/>
  <c r="CG55" i="1" s="1"/>
  <c r="CF56" i="1"/>
  <c r="CG56" i="1" s="1"/>
  <c r="CF57" i="1"/>
  <c r="CG57" i="1" s="1"/>
  <c r="CF58" i="1"/>
  <c r="CG58" i="1" s="1"/>
  <c r="CF59" i="1"/>
  <c r="CG59" i="1" s="1"/>
  <c r="CF60" i="1"/>
  <c r="CG60" i="1" s="1"/>
  <c r="CF61" i="1"/>
  <c r="CG61" i="1" s="1"/>
  <c r="CF62" i="1"/>
  <c r="CG62" i="1" s="1"/>
  <c r="CF63" i="1"/>
  <c r="CG63" i="1" s="1"/>
  <c r="CF64" i="1"/>
  <c r="CG64" i="1" s="1"/>
  <c r="CF65" i="1"/>
  <c r="CG65" i="1" s="1"/>
  <c r="CF66" i="1"/>
  <c r="CG66" i="1" s="1"/>
  <c r="CF67" i="1"/>
  <c r="CG67" i="1" s="1"/>
  <c r="CF68" i="1"/>
  <c r="CG68" i="1" s="1"/>
  <c r="CF69" i="1"/>
  <c r="CG69" i="1" s="1"/>
  <c r="CF70" i="1"/>
  <c r="CG70" i="1" s="1"/>
  <c r="CF71" i="1"/>
  <c r="CG71" i="1" s="1"/>
  <c r="CF72" i="1"/>
  <c r="CG72" i="1" s="1"/>
  <c r="CF73" i="1"/>
  <c r="CG73" i="1" s="1"/>
  <c r="CF74" i="1"/>
  <c r="CG74" i="1" s="1"/>
  <c r="CF75" i="1"/>
  <c r="CG75" i="1" s="1"/>
  <c r="CF76" i="1"/>
  <c r="CG76" i="1" s="1"/>
  <c r="CF77" i="1"/>
  <c r="CG77" i="1" s="1"/>
  <c r="CF78" i="1"/>
  <c r="CG78" i="1" s="1"/>
  <c r="CF79" i="1"/>
  <c r="CG79" i="1" s="1"/>
  <c r="CF80" i="1"/>
  <c r="CG80" i="1" s="1"/>
  <c r="CF81" i="1"/>
  <c r="CG81" i="1" s="1"/>
  <c r="CF82" i="1"/>
  <c r="CG82" i="1" s="1"/>
  <c r="CF83" i="1"/>
  <c r="CG83" i="1" s="1"/>
  <c r="CF84" i="1"/>
  <c r="CG84" i="1" s="1"/>
  <c r="CF85" i="1"/>
  <c r="CG85" i="1" s="1"/>
  <c r="CF86" i="1"/>
  <c r="CG86" i="1" s="1"/>
  <c r="CF87" i="1"/>
  <c r="CG87" i="1" s="1"/>
  <c r="CF88" i="1"/>
  <c r="CG88" i="1" s="1"/>
  <c r="CF89" i="1"/>
  <c r="CG89" i="1" s="1"/>
  <c r="CF90" i="1"/>
  <c r="CG90" i="1" s="1"/>
  <c r="CF91" i="1"/>
  <c r="CG91" i="1" s="1"/>
  <c r="CF92" i="1"/>
  <c r="CG92" i="1" s="1"/>
  <c r="BK2" i="1"/>
  <c r="BL2" i="1" s="1"/>
  <c r="BK3" i="1"/>
  <c r="BL3" i="1" s="1"/>
  <c r="BK4" i="1"/>
  <c r="BL4" i="1" s="1"/>
  <c r="BK5" i="1"/>
  <c r="BL5" i="1" s="1"/>
  <c r="BK6" i="1"/>
  <c r="BL6" i="1" s="1"/>
  <c r="BK7" i="1"/>
  <c r="BL7" i="1" s="1"/>
  <c r="BK8" i="1"/>
  <c r="BL8" i="1" s="1"/>
  <c r="BK9" i="1"/>
  <c r="BL9" i="1" s="1"/>
  <c r="BK10" i="1"/>
  <c r="BL10" i="1" s="1"/>
  <c r="BK11" i="1"/>
  <c r="BL11" i="1" s="1"/>
  <c r="BK12" i="1"/>
  <c r="BL12" i="1" s="1"/>
  <c r="BK13" i="1"/>
  <c r="BL13" i="1" s="1"/>
  <c r="BK14" i="1"/>
  <c r="BL14" i="1" s="1"/>
  <c r="BK15" i="1"/>
  <c r="BL15" i="1" s="1"/>
  <c r="BK16" i="1"/>
  <c r="BL16" i="1" s="1"/>
  <c r="BK17" i="1"/>
  <c r="BL17" i="1" s="1"/>
  <c r="BK18" i="1"/>
  <c r="BL18" i="1" s="1"/>
  <c r="BK19" i="1"/>
  <c r="BL19" i="1" s="1"/>
  <c r="BK20" i="1"/>
  <c r="BL20" i="1" s="1"/>
  <c r="BK21" i="1"/>
  <c r="BL21" i="1" s="1"/>
  <c r="BK22" i="1"/>
  <c r="BL22" i="1" s="1"/>
  <c r="BK23" i="1"/>
  <c r="BL23" i="1" s="1"/>
  <c r="BK24" i="1"/>
  <c r="BL24" i="1" s="1"/>
  <c r="BK25" i="1"/>
  <c r="BL25" i="1" s="1"/>
  <c r="BK26" i="1"/>
  <c r="BL26" i="1" s="1"/>
  <c r="BK27" i="1"/>
  <c r="BL27" i="1" s="1"/>
  <c r="BK28" i="1"/>
  <c r="BL28" i="1" s="1"/>
  <c r="BK29" i="1"/>
  <c r="BL29" i="1" s="1"/>
  <c r="BK30" i="1"/>
  <c r="BL30" i="1" s="1"/>
  <c r="BK31" i="1"/>
  <c r="BL31" i="1" s="1"/>
  <c r="BK32" i="1"/>
  <c r="BL32" i="1" s="1"/>
  <c r="BK33" i="1"/>
  <c r="BL33" i="1" s="1"/>
  <c r="BK34" i="1"/>
  <c r="BL34" i="1" s="1"/>
  <c r="BK35" i="1"/>
  <c r="BL35" i="1" s="1"/>
  <c r="BK36" i="1"/>
  <c r="BL36" i="1" s="1"/>
  <c r="BK37" i="1"/>
  <c r="BL37" i="1" s="1"/>
  <c r="BK38" i="1"/>
  <c r="BL38" i="1" s="1"/>
  <c r="BK39" i="1"/>
  <c r="BL39" i="1" s="1"/>
  <c r="BK40" i="1"/>
  <c r="BL40" i="1" s="1"/>
  <c r="BK41" i="1"/>
  <c r="BL41" i="1" s="1"/>
  <c r="BK42" i="1"/>
  <c r="BL42" i="1" s="1"/>
  <c r="BK43" i="1"/>
  <c r="BL43" i="1" s="1"/>
  <c r="BK44" i="1"/>
  <c r="BL44" i="1" s="1"/>
  <c r="BK45" i="1"/>
  <c r="BL45" i="1" s="1"/>
  <c r="BK46" i="1"/>
  <c r="BL46" i="1" s="1"/>
  <c r="BK47" i="1"/>
  <c r="BL47" i="1" s="1"/>
  <c r="BK48" i="1"/>
  <c r="BL48" i="1" s="1"/>
  <c r="BK49" i="1"/>
  <c r="BL49" i="1" s="1"/>
  <c r="BK50" i="1"/>
  <c r="BL50" i="1" s="1"/>
  <c r="BK51" i="1"/>
  <c r="BL51" i="1" s="1"/>
  <c r="BK52" i="1"/>
  <c r="BL52" i="1" s="1"/>
  <c r="BK53" i="1"/>
  <c r="BL53" i="1" s="1"/>
  <c r="BK54" i="1"/>
  <c r="BL54" i="1" s="1"/>
  <c r="BK55" i="1"/>
  <c r="BL55" i="1" s="1"/>
  <c r="BK56" i="1"/>
  <c r="BL56" i="1" s="1"/>
  <c r="BK57" i="1"/>
  <c r="BL57" i="1" s="1"/>
  <c r="BK58" i="1"/>
  <c r="BL58" i="1" s="1"/>
  <c r="BK59" i="1"/>
  <c r="BL59" i="1" s="1"/>
  <c r="BK60" i="1"/>
  <c r="BL60" i="1" s="1"/>
  <c r="BK61" i="1"/>
  <c r="BL61" i="1" s="1"/>
  <c r="BK62" i="1"/>
  <c r="BL62" i="1" s="1"/>
  <c r="BK63" i="1"/>
  <c r="BL63" i="1" s="1"/>
  <c r="BK64" i="1"/>
  <c r="BL64" i="1" s="1"/>
  <c r="BK65" i="1"/>
  <c r="BL65" i="1" s="1"/>
  <c r="BK66" i="1"/>
  <c r="BL66" i="1" s="1"/>
  <c r="BK67" i="1"/>
  <c r="BL67" i="1" s="1"/>
  <c r="BK68" i="1"/>
  <c r="BL68" i="1" s="1"/>
  <c r="BK69" i="1"/>
  <c r="BL69" i="1" s="1"/>
  <c r="BK70" i="1"/>
  <c r="BL70" i="1" s="1"/>
  <c r="BK71" i="1"/>
  <c r="BL71" i="1" s="1"/>
  <c r="BK72" i="1"/>
  <c r="BL72" i="1" s="1"/>
  <c r="BK73" i="1"/>
  <c r="BL73" i="1" s="1"/>
  <c r="BK74" i="1"/>
  <c r="BL74" i="1" s="1"/>
  <c r="BK75" i="1"/>
  <c r="BL75" i="1" s="1"/>
  <c r="BK76" i="1"/>
  <c r="BL76" i="1" s="1"/>
  <c r="BK77" i="1"/>
  <c r="BL77" i="1" s="1"/>
  <c r="BK78" i="1"/>
  <c r="BL78" i="1" s="1"/>
  <c r="BK79" i="1"/>
  <c r="BL79" i="1" s="1"/>
  <c r="BK80" i="1"/>
  <c r="BL80" i="1" s="1"/>
  <c r="BK81" i="1"/>
  <c r="BL81" i="1" s="1"/>
  <c r="BK82" i="1"/>
  <c r="BL82" i="1" s="1"/>
  <c r="BK83" i="1"/>
  <c r="BL83" i="1" s="1"/>
  <c r="BK84" i="1"/>
  <c r="BL84" i="1" s="1"/>
  <c r="BK85" i="1"/>
  <c r="BL85" i="1" s="1"/>
  <c r="BK86" i="1"/>
  <c r="BL86" i="1" s="1"/>
  <c r="BK87" i="1"/>
  <c r="BL87" i="1" s="1"/>
  <c r="BK88" i="1"/>
  <c r="BL88" i="1" s="1"/>
  <c r="BK89" i="1"/>
  <c r="BL89" i="1" s="1"/>
  <c r="BK90" i="1"/>
  <c r="BL90" i="1" s="1"/>
  <c r="BK91" i="1"/>
  <c r="BL91" i="1" s="1"/>
  <c r="BK92" i="1"/>
  <c r="BL92" i="1" s="1"/>
  <c r="AO2" i="1"/>
  <c r="AP2" i="1" s="1"/>
  <c r="AO3" i="1"/>
  <c r="AP3" i="1" s="1"/>
  <c r="AO4" i="1"/>
  <c r="AP4" i="1" s="1"/>
  <c r="AO5" i="1"/>
  <c r="AP5" i="1" s="1"/>
  <c r="AO6" i="1"/>
  <c r="AP6" i="1" s="1"/>
  <c r="AO7" i="1"/>
  <c r="AP7" i="1" s="1"/>
  <c r="AO8" i="1"/>
  <c r="AP8" i="1" s="1"/>
  <c r="AO9" i="1"/>
  <c r="AP9" i="1" s="1"/>
  <c r="AO10" i="1"/>
  <c r="AP10" i="1" s="1"/>
  <c r="AO11" i="1"/>
  <c r="AP11" i="1" s="1"/>
  <c r="AO12" i="1"/>
  <c r="AP12" i="1" s="1"/>
  <c r="AO13" i="1"/>
  <c r="AP13" i="1" s="1"/>
  <c r="AO14" i="1"/>
  <c r="AP14" i="1" s="1"/>
  <c r="AO15" i="1"/>
  <c r="AP15" i="1" s="1"/>
  <c r="AO16" i="1"/>
  <c r="AP16" i="1" s="1"/>
  <c r="AO17" i="1"/>
  <c r="AP17" i="1" s="1"/>
  <c r="AO18" i="1"/>
  <c r="AP18" i="1" s="1"/>
  <c r="AO19" i="1"/>
  <c r="AP19" i="1" s="1"/>
  <c r="AO20" i="1"/>
  <c r="AP20" i="1" s="1"/>
  <c r="AO21" i="1"/>
  <c r="AP21" i="1" s="1"/>
  <c r="AO22" i="1"/>
  <c r="AP22" i="1" s="1"/>
  <c r="AO23" i="1"/>
  <c r="AP23" i="1" s="1"/>
  <c r="AO24" i="1"/>
  <c r="AP24" i="1" s="1"/>
  <c r="AO25" i="1"/>
  <c r="AP25" i="1" s="1"/>
  <c r="AO26" i="1"/>
  <c r="AP26" i="1" s="1"/>
  <c r="AO27" i="1"/>
  <c r="AP27" i="1" s="1"/>
  <c r="AO28" i="1"/>
  <c r="AP28" i="1" s="1"/>
  <c r="AO29" i="1"/>
  <c r="AP29" i="1" s="1"/>
  <c r="AO30" i="1"/>
  <c r="AP30" i="1" s="1"/>
  <c r="AO31" i="1"/>
  <c r="AP31" i="1" s="1"/>
  <c r="AO32" i="1"/>
  <c r="AP32" i="1" s="1"/>
  <c r="AO33" i="1"/>
  <c r="AP33" i="1" s="1"/>
  <c r="AO34" i="1"/>
  <c r="AP34" i="1" s="1"/>
  <c r="AO35" i="1"/>
  <c r="AP35" i="1" s="1"/>
  <c r="AO36" i="1"/>
  <c r="AP36" i="1" s="1"/>
  <c r="AO37" i="1"/>
  <c r="AP37" i="1" s="1"/>
  <c r="AO38" i="1"/>
  <c r="AP38" i="1" s="1"/>
  <c r="AO39" i="1"/>
  <c r="AP39" i="1" s="1"/>
  <c r="AO40" i="1"/>
  <c r="AP40" i="1" s="1"/>
  <c r="AO41" i="1"/>
  <c r="AP41" i="1" s="1"/>
  <c r="AO42" i="1"/>
  <c r="AP42" i="1" s="1"/>
  <c r="AO43" i="1"/>
  <c r="AP43" i="1" s="1"/>
  <c r="AO44" i="1"/>
  <c r="AP44" i="1" s="1"/>
  <c r="AO45" i="1"/>
  <c r="AP45" i="1" s="1"/>
  <c r="AO46" i="1"/>
  <c r="AP46" i="1" s="1"/>
  <c r="AO47" i="1"/>
  <c r="AP47" i="1" s="1"/>
  <c r="AO48" i="1"/>
  <c r="AP48" i="1" s="1"/>
  <c r="AO49" i="1"/>
  <c r="AP49" i="1" s="1"/>
  <c r="AO50" i="1"/>
  <c r="AP50" i="1" s="1"/>
  <c r="AO51" i="1"/>
  <c r="AP51" i="1" s="1"/>
  <c r="AO52" i="1"/>
  <c r="AP52" i="1" s="1"/>
  <c r="AO53" i="1"/>
  <c r="AP53" i="1" s="1"/>
  <c r="AO54" i="1"/>
  <c r="AP54" i="1" s="1"/>
  <c r="AO55" i="1"/>
  <c r="AP55" i="1" s="1"/>
  <c r="AO56" i="1"/>
  <c r="AP56" i="1" s="1"/>
  <c r="AO57" i="1"/>
  <c r="AP57" i="1" s="1"/>
  <c r="AO58" i="1"/>
  <c r="AP58" i="1" s="1"/>
  <c r="AO59" i="1"/>
  <c r="AP59" i="1" s="1"/>
  <c r="AO60" i="1"/>
  <c r="AP60" i="1" s="1"/>
  <c r="AO61" i="1"/>
  <c r="AP61" i="1" s="1"/>
  <c r="AO62" i="1"/>
  <c r="AP62" i="1" s="1"/>
  <c r="AO63" i="1"/>
  <c r="AP63" i="1" s="1"/>
  <c r="AO64" i="1"/>
  <c r="AP64" i="1" s="1"/>
  <c r="AO65" i="1"/>
  <c r="AP65" i="1" s="1"/>
  <c r="AO66" i="1"/>
  <c r="AP66" i="1" s="1"/>
  <c r="AO67" i="1"/>
  <c r="AP67" i="1" s="1"/>
  <c r="AO68" i="1"/>
  <c r="AP68" i="1" s="1"/>
  <c r="AO69" i="1"/>
  <c r="AP69" i="1" s="1"/>
  <c r="AO70" i="1"/>
  <c r="AP70" i="1" s="1"/>
  <c r="AO71" i="1"/>
  <c r="AP71" i="1" s="1"/>
  <c r="AO72" i="1"/>
  <c r="AP72" i="1" s="1"/>
  <c r="AO73" i="1"/>
  <c r="AP73" i="1" s="1"/>
  <c r="AO74" i="1"/>
  <c r="AP74" i="1" s="1"/>
  <c r="AO75" i="1"/>
  <c r="AP75" i="1" s="1"/>
  <c r="AO76" i="1"/>
  <c r="AP76" i="1" s="1"/>
  <c r="AO77" i="1"/>
  <c r="AP77" i="1" s="1"/>
  <c r="AO78" i="1"/>
  <c r="AP78" i="1" s="1"/>
  <c r="AO79" i="1"/>
  <c r="AP79" i="1" s="1"/>
  <c r="AO80" i="1"/>
  <c r="AP80" i="1" s="1"/>
  <c r="AO81" i="1"/>
  <c r="AP81" i="1" s="1"/>
  <c r="AO82" i="1"/>
  <c r="AP82" i="1" s="1"/>
  <c r="AO83" i="1"/>
  <c r="AP83" i="1" s="1"/>
  <c r="AO84" i="1"/>
  <c r="AP84" i="1" s="1"/>
  <c r="AO85" i="1"/>
  <c r="AP85" i="1" s="1"/>
  <c r="AO86" i="1"/>
  <c r="AP86" i="1" s="1"/>
  <c r="AO87" i="1"/>
  <c r="AP87" i="1" s="1"/>
  <c r="AO88" i="1"/>
  <c r="AP88" i="1" s="1"/>
  <c r="AO89" i="1"/>
  <c r="AP89" i="1" s="1"/>
  <c r="AO90" i="1"/>
  <c r="AP90" i="1" s="1"/>
  <c r="AO91" i="1"/>
  <c r="AP91" i="1" s="1"/>
  <c r="AO92" i="1"/>
  <c r="AP92" i="1" s="1"/>
  <c r="C1048573" i="1"/>
  <c r="BA3" i="5"/>
  <c r="BA2" i="5"/>
  <c r="R5" i="5"/>
  <c r="AN2" i="5"/>
  <c r="AO2" i="5"/>
  <c r="R3" i="5"/>
  <c r="R4" i="5"/>
  <c r="G2" i="5"/>
  <c r="AH4" i="5"/>
  <c r="AH3" i="5"/>
  <c r="G4" i="5"/>
  <c r="H3" i="5"/>
  <c r="AG4" i="5"/>
  <c r="AH5" i="5"/>
  <c r="G3" i="5"/>
  <c r="H5" i="5"/>
  <c r="H4" i="5"/>
  <c r="AG2" i="5"/>
  <c r="AG5" i="5"/>
  <c r="AG3" i="5"/>
  <c r="G5" i="5"/>
  <c r="AM2" i="5"/>
  <c r="AH2" i="5"/>
  <c r="X93" i="1" l="1"/>
  <c r="AS93" i="1"/>
  <c r="BO93" i="1"/>
  <c r="T21" i="1"/>
  <c r="U21" i="1" s="1"/>
  <c r="E21" i="1"/>
  <c r="E48" i="1"/>
  <c r="T48" i="1"/>
  <c r="U48" i="1" s="1"/>
  <c r="T2" i="1"/>
  <c r="U2" i="1" s="1"/>
  <c r="E34" i="1"/>
  <c r="T34" i="1"/>
  <c r="U34" i="1" s="1"/>
  <c r="E66" i="1"/>
  <c r="T66" i="1"/>
  <c r="U66" i="1" s="1"/>
  <c r="E3" i="1"/>
  <c r="T3" i="1"/>
  <c r="U3" i="1" s="1"/>
  <c r="E35" i="1"/>
  <c r="T35" i="1"/>
  <c r="U35" i="1" s="1"/>
  <c r="E67" i="1"/>
  <c r="T67" i="1"/>
  <c r="U67" i="1" s="1"/>
  <c r="E4" i="1"/>
  <c r="T4" i="1"/>
  <c r="U4" i="1" s="1"/>
  <c r="E36" i="1"/>
  <c r="T36" i="1"/>
  <c r="U36" i="1" s="1"/>
  <c r="E68" i="1"/>
  <c r="T68" i="1"/>
  <c r="U68" i="1" s="1"/>
  <c r="E5" i="1"/>
  <c r="T5" i="1"/>
  <c r="U5" i="1" s="1"/>
  <c r="E61" i="1"/>
  <c r="T61" i="1"/>
  <c r="U61" i="1" s="1"/>
  <c r="T89" i="1"/>
  <c r="U89" i="1" s="1"/>
  <c r="E89" i="1"/>
  <c r="E39" i="1"/>
  <c r="T39" i="1"/>
  <c r="U39" i="1" s="1"/>
  <c r="E38" i="1"/>
  <c r="T38" i="1"/>
  <c r="U38" i="1" s="1"/>
  <c r="E70" i="1"/>
  <c r="T70" i="1"/>
  <c r="U70" i="1" s="1"/>
  <c r="T37" i="1"/>
  <c r="U37" i="1" s="1"/>
  <c r="E37" i="1"/>
  <c r="E15" i="1"/>
  <c r="T15" i="1"/>
  <c r="U15" i="1" s="1"/>
  <c r="E47" i="1"/>
  <c r="T47" i="1"/>
  <c r="U47" i="1" s="1"/>
  <c r="E79" i="1"/>
  <c r="T79" i="1"/>
  <c r="U79" i="1" s="1"/>
  <c r="E24" i="1"/>
  <c r="T24" i="1"/>
  <c r="U24" i="1" s="1"/>
  <c r="E56" i="1"/>
  <c r="T56" i="1"/>
  <c r="U56" i="1" s="1"/>
  <c r="E88" i="1"/>
  <c r="T88" i="1"/>
  <c r="U88" i="1" s="1"/>
  <c r="E33" i="1"/>
  <c r="T33" i="1"/>
  <c r="U33" i="1" s="1"/>
  <c r="E65" i="1"/>
  <c r="T65" i="1"/>
  <c r="U65" i="1" s="1"/>
  <c r="T91" i="1"/>
  <c r="U91" i="1" s="1"/>
  <c r="E91" i="1"/>
  <c r="T7" i="1"/>
  <c r="U7" i="1" s="1"/>
  <c r="E7" i="1"/>
  <c r="T80" i="1"/>
  <c r="U80" i="1" s="1"/>
  <c r="E80" i="1"/>
  <c r="E60" i="1"/>
  <c r="T60" i="1"/>
  <c r="U60" i="1" s="1"/>
  <c r="E42" i="1"/>
  <c r="T42" i="1"/>
  <c r="U42" i="1" s="1"/>
  <c r="E43" i="1"/>
  <c r="T43" i="1"/>
  <c r="U43" i="1" s="1"/>
  <c r="E75" i="1"/>
  <c r="T75" i="1"/>
  <c r="U75" i="1" s="1"/>
  <c r="E12" i="1"/>
  <c r="T12" i="1"/>
  <c r="U12" i="1" s="1"/>
  <c r="E44" i="1"/>
  <c r="T44" i="1"/>
  <c r="U44" i="1" s="1"/>
  <c r="E76" i="1"/>
  <c r="T76" i="1"/>
  <c r="U76" i="1" s="1"/>
  <c r="E13" i="1"/>
  <c r="T13" i="1"/>
  <c r="U13" i="1" s="1"/>
  <c r="E69" i="1"/>
  <c r="T69" i="1"/>
  <c r="U69" i="1" s="1"/>
  <c r="T26" i="1"/>
  <c r="U26" i="1" s="1"/>
  <c r="E26" i="1"/>
  <c r="T30" i="1"/>
  <c r="U30" i="1" s="1"/>
  <c r="E30" i="1"/>
  <c r="T71" i="1"/>
  <c r="U71" i="1" s="1"/>
  <c r="E71" i="1"/>
  <c r="T25" i="1"/>
  <c r="U25" i="1" s="1"/>
  <c r="E25" i="1"/>
  <c r="E58" i="1"/>
  <c r="T58" i="1"/>
  <c r="U58" i="1" s="1"/>
  <c r="E28" i="1"/>
  <c r="T28" i="1"/>
  <c r="U28" i="1" s="1"/>
  <c r="T6" i="1"/>
  <c r="U6" i="1" s="1"/>
  <c r="E6" i="1"/>
  <c r="E74" i="1"/>
  <c r="T74" i="1"/>
  <c r="U74" i="1" s="1"/>
  <c r="E23" i="1"/>
  <c r="T23" i="1"/>
  <c r="U23" i="1" s="1"/>
  <c r="T59" i="1"/>
  <c r="U59" i="1" s="1"/>
  <c r="E59" i="1"/>
  <c r="T92" i="1"/>
  <c r="U92" i="1" s="1"/>
  <c r="E92" i="1"/>
  <c r="T62" i="1"/>
  <c r="U62" i="1" s="1"/>
  <c r="E62" i="1"/>
  <c r="T16" i="1"/>
  <c r="U16" i="1" s="1"/>
  <c r="E16" i="1"/>
  <c r="T57" i="1"/>
  <c r="U57" i="1" s="1"/>
  <c r="E57" i="1"/>
  <c r="E27" i="1"/>
  <c r="T27" i="1"/>
  <c r="U27" i="1" s="1"/>
  <c r="E45" i="1"/>
  <c r="T45" i="1"/>
  <c r="U45" i="1" s="1"/>
  <c r="E10" i="1"/>
  <c r="T10" i="1"/>
  <c r="U10" i="1" s="1"/>
  <c r="E11" i="1"/>
  <c r="T11" i="1"/>
  <c r="U11" i="1" s="1"/>
  <c r="E14" i="1"/>
  <c r="T14" i="1"/>
  <c r="U14" i="1" s="1"/>
  <c r="E46" i="1"/>
  <c r="T46" i="1"/>
  <c r="U46" i="1" s="1"/>
  <c r="E78" i="1"/>
  <c r="T78" i="1"/>
  <c r="U78" i="1" s="1"/>
  <c r="T53" i="1"/>
  <c r="U53" i="1" s="1"/>
  <c r="E53" i="1"/>
  <c r="E55" i="1"/>
  <c r="T55" i="1"/>
  <c r="U55" i="1" s="1"/>
  <c r="E87" i="1"/>
  <c r="T87" i="1"/>
  <c r="U87" i="1" s="1"/>
  <c r="E32" i="1"/>
  <c r="T32" i="1"/>
  <c r="U32" i="1" s="1"/>
  <c r="E64" i="1"/>
  <c r="T64" i="1"/>
  <c r="U64" i="1" s="1"/>
  <c r="E9" i="1"/>
  <c r="T9" i="1"/>
  <c r="U9" i="1" s="1"/>
  <c r="E41" i="1"/>
  <c r="T41" i="1"/>
  <c r="U41" i="1" s="1"/>
  <c r="E73" i="1"/>
  <c r="T73" i="1"/>
  <c r="U73" i="1" s="1"/>
  <c r="T22" i="1"/>
  <c r="U22" i="1" s="1"/>
  <c r="E22" i="1"/>
  <c r="T86" i="1"/>
  <c r="U86" i="1" s="1"/>
  <c r="E86" i="1"/>
  <c r="E77" i="1"/>
  <c r="T77" i="1"/>
  <c r="U77" i="1" s="1"/>
  <c r="T31" i="1"/>
  <c r="U31" i="1" s="1"/>
  <c r="E31" i="1"/>
  <c r="T8" i="1"/>
  <c r="U8" i="1" s="1"/>
  <c r="E8" i="1"/>
  <c r="T72" i="1"/>
  <c r="U72" i="1" s="1"/>
  <c r="E72" i="1"/>
  <c r="T17" i="1"/>
  <c r="U17" i="1" s="1"/>
  <c r="E17" i="1"/>
  <c r="T49" i="1"/>
  <c r="U49" i="1" s="1"/>
  <c r="E49" i="1"/>
  <c r="T81" i="1"/>
  <c r="U81" i="1" s="1"/>
  <c r="E81" i="1"/>
  <c r="E18" i="1"/>
  <c r="T18" i="1"/>
  <c r="U18" i="1" s="1"/>
  <c r="E50" i="1"/>
  <c r="T50" i="1"/>
  <c r="U50" i="1" s="1"/>
  <c r="E82" i="1"/>
  <c r="T82" i="1"/>
  <c r="U82" i="1" s="1"/>
  <c r="E19" i="1"/>
  <c r="T19" i="1"/>
  <c r="U19" i="1" s="1"/>
  <c r="E51" i="1"/>
  <c r="T51" i="1"/>
  <c r="U51" i="1" s="1"/>
  <c r="E83" i="1"/>
  <c r="T83" i="1"/>
  <c r="U83" i="1" s="1"/>
  <c r="E20" i="1"/>
  <c r="T20" i="1"/>
  <c r="U20" i="1" s="1"/>
  <c r="E52" i="1"/>
  <c r="T52" i="1"/>
  <c r="U52" i="1" s="1"/>
  <c r="E84" i="1"/>
  <c r="T84" i="1"/>
  <c r="U84" i="1" s="1"/>
  <c r="E29" i="1"/>
  <c r="T29" i="1"/>
  <c r="U29" i="1" s="1"/>
  <c r="E85" i="1"/>
  <c r="T85" i="1"/>
  <c r="U85" i="1" s="1"/>
  <c r="E54" i="1"/>
  <c r="T54" i="1"/>
  <c r="U54" i="1" s="1"/>
  <c r="T90" i="1"/>
  <c r="U90" i="1" s="1"/>
  <c r="E90" i="1"/>
  <c r="E63" i="1"/>
  <c r="T63" i="1"/>
  <c r="U63" i="1" s="1"/>
  <c r="E40" i="1"/>
  <c r="T40" i="1"/>
  <c r="U40" i="1" s="1"/>
  <c r="E2" i="1"/>
  <c r="E93" i="1" l="1"/>
  <c r="CI9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3B54CC-CBB3-44AE-B560-DBC7052C122A}" keepAlive="1" name="Query - Healthcare Insurance Project" description="Connection to the 'Healthcare Insurance Project' query in the workbook." type="5" refreshedVersion="7" background="1" saveData="1">
    <dbPr connection="Provider=Microsoft.Mashup.OleDb.1;Data Source=$Workbook$;Location=&quot;Healthcare Insurance Project&quot;;Extended Properties=&quot;&quot;" command="SELECT * FROM [Healthcare Insurance Project]"/>
  </connection>
</connections>
</file>

<file path=xl/sharedStrings.xml><?xml version="1.0" encoding="utf-8"?>
<sst xmlns="http://schemas.openxmlformats.org/spreadsheetml/2006/main" count="357" uniqueCount="209">
  <si>
    <t>Neighborhood</t>
  </si>
  <si>
    <t>Id</t>
  </si>
  <si>
    <t>Total</t>
  </si>
  <si>
    <t>Under 18 years</t>
  </si>
  <si>
    <t>18 to 34 years</t>
  </si>
  <si>
    <t>35 to 64 years</t>
  </si>
  <si>
    <t>65 years and over</t>
  </si>
  <si>
    <t>Allegheny Center</t>
  </si>
  <si>
    <t>Allegheny West</t>
  </si>
  <si>
    <t>Allentown</t>
  </si>
  <si>
    <t>Arlington</t>
  </si>
  <si>
    <t>Arlington Heights</t>
  </si>
  <si>
    <t>Banksville</t>
  </si>
  <si>
    <t>Bedford Dwellings</t>
  </si>
  <si>
    <t>Beechview</t>
  </si>
  <si>
    <t>Beltzhoover</t>
  </si>
  <si>
    <t>Bloomfield</t>
  </si>
  <si>
    <t>Bluff</t>
  </si>
  <si>
    <t>Bon Air</t>
  </si>
  <si>
    <t>Brighton Heights</t>
  </si>
  <si>
    <t>Brookline</t>
  </si>
  <si>
    <t>California-Kirkbride</t>
  </si>
  <si>
    <t>Carrick</t>
  </si>
  <si>
    <t>Central Business District</t>
  </si>
  <si>
    <t>Central Lawrenceville</t>
  </si>
  <si>
    <t>Central Northside</t>
  </si>
  <si>
    <t>Central Oakland</t>
  </si>
  <si>
    <t>Chartiers City</t>
  </si>
  <si>
    <t>Chateau</t>
  </si>
  <si>
    <t>Crafton Heights</t>
  </si>
  <si>
    <t>Crawford-Roberts</t>
  </si>
  <si>
    <t>Duquesne Heights</t>
  </si>
  <si>
    <t>East Allegheny</t>
  </si>
  <si>
    <t>East Carnegie</t>
  </si>
  <si>
    <t>East Hills</t>
  </si>
  <si>
    <t>East Liberty</t>
  </si>
  <si>
    <t>Elliott</t>
  </si>
  <si>
    <t>Esplen</t>
  </si>
  <si>
    <t>Fairywood</t>
  </si>
  <si>
    <t>Fineview</t>
  </si>
  <si>
    <t>Friendship</t>
  </si>
  <si>
    <t>Garfield</t>
  </si>
  <si>
    <t>Glen Hazel</t>
  </si>
  <si>
    <t>Greenfield</t>
  </si>
  <si>
    <t>Hays</t>
  </si>
  <si>
    <t>Hazelwood</t>
  </si>
  <si>
    <t>Highland Park</t>
  </si>
  <si>
    <t>Homewood North</t>
  </si>
  <si>
    <t>Homewood South</t>
  </si>
  <si>
    <t>Homewood West</t>
  </si>
  <si>
    <t>Knoxville</t>
  </si>
  <si>
    <t>Larimer</t>
  </si>
  <si>
    <t>Lincoln Place</t>
  </si>
  <si>
    <t>Lincoln-Lemington-Belmar</t>
  </si>
  <si>
    <t>Lower Lawrenceville</t>
  </si>
  <si>
    <t>Manchester</t>
  </si>
  <si>
    <t>Marshall-Shadeland</t>
  </si>
  <si>
    <t>Middle Hill</t>
  </si>
  <si>
    <t>Morningside</t>
  </si>
  <si>
    <t>Mount Oliver Borough</t>
  </si>
  <si>
    <t>Mount Washington</t>
  </si>
  <si>
    <t>Mt. Oliver</t>
  </si>
  <si>
    <t>New Homestead</t>
  </si>
  <si>
    <t>North Oakland</t>
  </si>
  <si>
    <t>North Shore</t>
  </si>
  <si>
    <t>Northview Heights</t>
  </si>
  <si>
    <t>Oakwood</t>
  </si>
  <si>
    <t>Overbrook</t>
  </si>
  <si>
    <t>Perry North</t>
  </si>
  <si>
    <t>Perry South</t>
  </si>
  <si>
    <t>Point Breeze</t>
  </si>
  <si>
    <t>Point Breeze North</t>
  </si>
  <si>
    <t>Polish Hill</t>
  </si>
  <si>
    <t>Regent Square</t>
  </si>
  <si>
    <t>Ridgemont</t>
  </si>
  <si>
    <t>Shadyside</t>
  </si>
  <si>
    <t>Sheraden</t>
  </si>
  <si>
    <t>South Oakland</t>
  </si>
  <si>
    <t>South Shore</t>
  </si>
  <si>
    <t>South Side Flats</t>
  </si>
  <si>
    <t>South Side Slopes</t>
  </si>
  <si>
    <t>Spring Garden</t>
  </si>
  <si>
    <t>Spring Hill-City View</t>
  </si>
  <si>
    <t>Squirrel Hill North</t>
  </si>
  <si>
    <t>Squirrel Hill South</t>
  </si>
  <si>
    <t>St. Clair</t>
  </si>
  <si>
    <t>Stanton Heights</t>
  </si>
  <si>
    <t>Strip District</t>
  </si>
  <si>
    <t>Summer Hill</t>
  </si>
  <si>
    <t>Swisshelm Park</t>
  </si>
  <si>
    <t>Terrace Village</t>
  </si>
  <si>
    <t>Troy Hill</t>
  </si>
  <si>
    <t>Upper Hill</t>
  </si>
  <si>
    <t>Upper Lawrenceville</t>
  </si>
  <si>
    <t>West End</t>
  </si>
  <si>
    <t>West Oakland</t>
  </si>
  <si>
    <t>Westwood</t>
  </si>
  <si>
    <t>Windgap</t>
  </si>
  <si>
    <t>Under 18 years - With one type of health insurance coverage</t>
  </si>
  <si>
    <t>Under 18 years - With one type of health insurance coverage &amp; employer-based health insurance only</t>
  </si>
  <si>
    <t>Under 18 years - With one type of health insurance coverage &amp; direct-purchase health insurance only</t>
  </si>
  <si>
    <t>Under 18 years - With one type of health insurance coverage &amp; Medicare coverage only</t>
  </si>
  <si>
    <t>Under 18 years - With one type of health insurance coverage &amp; Medicaid/means-tested public coverage only</t>
  </si>
  <si>
    <t>Under 18 years - With one type of health insurance coverage &amp; TRICARE/military health coverage only</t>
  </si>
  <si>
    <t>Under 18 years - With one type of health insurance coverage &amp; VA Health Care only</t>
  </si>
  <si>
    <t>Under 18 years - With two or more types of health insurance coverage</t>
  </si>
  <si>
    <t>Under 18 years - With two or more types of health insurance coverage, employer-based &amp; direct-purchase coverage</t>
  </si>
  <si>
    <t>Under 18 years - With two or more types of health insurance coverage, employer-based &amp; Medicare coverage</t>
  </si>
  <si>
    <t>Under 18 years - With two or more types of health insurance coverage, Medicare &amp; Medicaid/means-tested public coverage</t>
  </si>
  <si>
    <t>Under 18 years - With two or more types of health insurance coverage &amp; Other private only combinations</t>
  </si>
  <si>
    <t>Under 18 years - With two or more types of health insurance coverage &amp; Other public only combinations</t>
  </si>
  <si>
    <t>Under 18 years - With two or more types of health insurance coverage &amp; Other coverage combinations</t>
  </si>
  <si>
    <t>Under 18 years - No health insurance coverage</t>
  </si>
  <si>
    <t>18 to 34 years - With one type of health insurance coverage</t>
  </si>
  <si>
    <t>18 to 34 years - With one type of health insurance coverage &amp; With employer-based health insurance only</t>
  </si>
  <si>
    <t>18 to 34 years -  With one type of health insurance coverage &amp; direct-purchase health insurance only</t>
  </si>
  <si>
    <t>18 to 34 years - With one type of health insurance coverage &amp; Medicare coverage only</t>
  </si>
  <si>
    <t>18 to 34 years - With one type of health insurance coverage &amp; Medicaid/means-tested public coverage only</t>
  </si>
  <si>
    <t>18 to 34 years - With one type of health insurance coverage &amp; TRICARE/military health coverage only</t>
  </si>
  <si>
    <t>18 to 34 years - With one type of health insurance coverage &amp; VA Health Care only</t>
  </si>
  <si>
    <t>18 to 34 years - With two or more types of health insurance coverage</t>
  </si>
  <si>
    <t>18 to 34 years - With two or more types of health insurance coverage &amp; employer-based and direct-purchase coverage</t>
  </si>
  <si>
    <t>18 to 34 years - With two or more types of health insurance coverage &amp; employer-based and Medicare coverage</t>
  </si>
  <si>
    <t>18 to 34 years - With two or more types of health insurance coverage &amp; Medicare and Medicaid/means-tested public coverage</t>
  </si>
  <si>
    <t>18 to 34 years - With two or more types of health insurance coverage &amp; Other private only combinations</t>
  </si>
  <si>
    <t>18 to 34 years - With two or more types of health insurance coverage &amp; Other public only combinations</t>
  </si>
  <si>
    <t>18 to 34 years - With two or more types of health insurance coverage &amp; Other coverage combinations</t>
  </si>
  <si>
    <t>18 to 34 years - No health insurance coverage</t>
  </si>
  <si>
    <t>35 to 64 years - With one type of health insurance coverage</t>
  </si>
  <si>
    <t>35 to 64 years - With one type of health insurance coverage &amp; employer-based health insurance only</t>
  </si>
  <si>
    <t>35 to 64 years - With one type of health insurance coverage &amp; direct-purchase health insurance only</t>
  </si>
  <si>
    <t>35 to 64 years - With one type of health insurance coverage &amp; Medicare coverage only</t>
  </si>
  <si>
    <t>35 to 64 years - With one type of health insurance coverage &amp; Medicaid/means-tested public coverage only</t>
  </si>
  <si>
    <t>35 to 64 years - With one type of health insurance coverage &amp; TRICARE/military health coverage only</t>
  </si>
  <si>
    <t>35 to 64 years - With one type of health insurance coverage &amp; VA Health Care only</t>
  </si>
  <si>
    <t>35 to 64 years - With two or more types of health insurance coverage</t>
  </si>
  <si>
    <t>35 to 64 years - With two or more types of health insurance coverage, employer-based &amp; direct-purchase coverage</t>
  </si>
  <si>
    <t>35 to 64 years - With two or more types of health insurance coverage, employer-based &amp; Medicare coverage</t>
  </si>
  <si>
    <t>35 to 64 years - With two or more types of health insurance coverage, direct-purchase &amp; Medicare coverage</t>
  </si>
  <si>
    <t>35 to 64 years - With two or more types of health insurance coverage &amp; Medicare and Medicaid/means-tested public coverage</t>
  </si>
  <si>
    <t>35 to 64 years - With two or more types of health insurance coverage &amp; Other private only combinations</t>
  </si>
  <si>
    <t>35 to 64 years - With two or more types of health insurance coverage &amp; Other public only combinations</t>
  </si>
  <si>
    <t>35 to 64 years - With two or more types of health insurance coverage &amp; Other coverage combinations</t>
  </si>
  <si>
    <t>35 to 64 years - No health insurance coverage</t>
  </si>
  <si>
    <t>65 years and over - With one type of health insurance coverage</t>
  </si>
  <si>
    <t>65 years and over - With one type of health insurance coverage &amp; employer-based health insurance only</t>
  </si>
  <si>
    <t>65 years and over - With one type of health insurance coverage &amp; direct-purchase health insurance only</t>
  </si>
  <si>
    <t>65 years and over - With one type of health insurance coverage &amp; Medicare coverage only</t>
  </si>
  <si>
    <t>65 years and over - With one type of health insurance coverage &amp; TRICARE/military health coverage only</t>
  </si>
  <si>
    <t>65 years and over - With one type of health insurance coverage &amp; With VA Health Care only</t>
  </si>
  <si>
    <t>65 years and over - With two or more types of health insurance coverage</t>
  </si>
  <si>
    <t>65 years and over - With two or more types of health insurance coverage, employer-based &amp; direct-purchase coverage</t>
  </si>
  <si>
    <t>65 years and over - With two or more types of health insurance coverage, employer-based &amp; Medicare coverage</t>
  </si>
  <si>
    <t>65 years and over - With two or more types of health insurance coverage, direct-purchase &amp; Medicare coverage</t>
  </si>
  <si>
    <t>65 years and over - With two or more types of health insurance coverage, Medicare &amp; Medicaid/means-tested public coverage</t>
  </si>
  <si>
    <t>65 years and over - With two or more types of health insurance coverage &amp; Other private only combinations</t>
  </si>
  <si>
    <t>65 years and over - With two or more types of health insurance coverage &amp; Other public only combinations</t>
  </si>
  <si>
    <t>65 years and over - With two or more types of health insurance coverage &amp; Other coverage combinations</t>
  </si>
  <si>
    <t>65 years and over - No health insurance coverage</t>
  </si>
  <si>
    <t>Grand Total</t>
  </si>
  <si>
    <t>Total Insured Under 18 years</t>
  </si>
  <si>
    <t>Total Insured Under 18 to 34 years</t>
  </si>
  <si>
    <t>Total Insured Under 35 to 64 years</t>
  </si>
  <si>
    <t>Total Insured Under 65 years and over</t>
  </si>
  <si>
    <t>Total Insured Neighborhood</t>
  </si>
  <si>
    <t>35 to 64 years - Penetration Rate</t>
  </si>
  <si>
    <t>Under 18 years - Penetration Rate</t>
  </si>
  <si>
    <t>18 to 34 years - Penetration rate</t>
  </si>
  <si>
    <t>65 years and over - Penetration Rate</t>
  </si>
  <si>
    <t>Under 18 years - Uninsured Rate</t>
  </si>
  <si>
    <t>18 to 34 years - Uninsured rate</t>
  </si>
  <si>
    <t>35 to 64 years - Uninsured rate</t>
  </si>
  <si>
    <t>65 years and over - Uninsured rate</t>
  </si>
  <si>
    <t>Average of Under 18 years - Penetration Rate</t>
  </si>
  <si>
    <t>Average of 18 to 34 years - Penetration rate</t>
  </si>
  <si>
    <t>Average of 35 to 64 years - Penetration Rate</t>
  </si>
  <si>
    <t>Average of 65 years and over - Penetration Rate</t>
  </si>
  <si>
    <t>35 to 64 years - Real Coverage Rate</t>
  </si>
  <si>
    <t>65 years and over - Real Coverage Rate</t>
  </si>
  <si>
    <t>Coverage Rate ( 18 to 34 years )</t>
  </si>
  <si>
    <t>Real Coverage Rate ( 18 to 34 years )</t>
  </si>
  <si>
    <t>Coverage Rate ( 35 to 64 years )</t>
  </si>
  <si>
    <t>Coverage Rate ( 65 years and over )</t>
  </si>
  <si>
    <t>Average of Real Coverage Rate ( 18 to 34 years )</t>
  </si>
  <si>
    <t>Average of 35 to 64 years - Real Coverage Rate</t>
  </si>
  <si>
    <t>Average of 65 years and over - Real Coverage Rate</t>
  </si>
  <si>
    <t>Average of Under 18 years - Uninsured Rate</t>
  </si>
  <si>
    <t>Average of 18 to 34 years - Uninsured rate</t>
  </si>
  <si>
    <t>Average of 35 to 64 years - Uninsured rate</t>
  </si>
  <si>
    <t>Average of 65 years and over - Uninsured rate</t>
  </si>
  <si>
    <t>Age Group</t>
  </si>
  <si>
    <t>Avg Penetration Rate</t>
  </si>
  <si>
    <t>Avg Coverage Rate</t>
  </si>
  <si>
    <t>18–34</t>
  </si>
  <si>
    <t>Under 18</t>
  </si>
  <si>
    <t>35–64</t>
  </si>
  <si>
    <t>65+</t>
  </si>
  <si>
    <t>Avg Uninsured Rate</t>
  </si>
  <si>
    <t xml:space="preserve">           </t>
  </si>
  <si>
    <t xml:space="preserve">                                  </t>
  </si>
  <si>
    <t>Avg Coverage Rate 
(Across all age groups)</t>
  </si>
  <si>
    <t>Avg Insurance Penetration Rate 
(Across all age groups)</t>
  </si>
  <si>
    <t>Avg Uninsured Rate 
(Across all age groups)</t>
  </si>
  <si>
    <t>(All)</t>
  </si>
  <si>
    <t>Total Population</t>
  </si>
  <si>
    <t>Total Count</t>
  </si>
  <si>
    <t>Sum of Total</t>
  </si>
  <si>
    <t>Count of Id</t>
  </si>
  <si>
    <t>Neigborhood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</si>
</sst>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rgb="FFFFFFFF"/>
      <name val="Calibri"/>
      <family val="2"/>
      <scheme val="minor"/>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4472C4"/>
        <bgColor rgb="FF4472C4"/>
      </patternFill>
    </fill>
    <fill>
      <patternFill patternType="solid">
        <fgColor rgb="FFD9E1F2"/>
        <bgColor rgb="FFD9E1F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center" vertical="center"/>
    </xf>
    <xf numFmtId="0" fontId="16" fillId="0" borderId="0" xfId="0" applyFont="1"/>
    <xf numFmtId="164" fontId="0" fillId="0" borderId="0" xfId="42" applyNumberFormat="1" applyFont="1"/>
    <xf numFmtId="164" fontId="0" fillId="0" borderId="0" xfId="42" applyNumberFormat="1" applyFont="1" applyAlignment="1">
      <alignment horizontal="center"/>
    </xf>
    <xf numFmtId="0" fontId="0" fillId="0" borderId="0" xfId="0" pivotButton="1"/>
    <xf numFmtId="9" fontId="16" fillId="0" borderId="0" xfId="43" applyFont="1" applyAlignment="1">
      <alignment horizontal="center"/>
    </xf>
    <xf numFmtId="9" fontId="0" fillId="0" borderId="0" xfId="43" applyFont="1" applyAlignment="1">
      <alignment horizontal="center"/>
    </xf>
    <xf numFmtId="9" fontId="0" fillId="0" borderId="0" xfId="43" applyFont="1"/>
    <xf numFmtId="10" fontId="0" fillId="0" borderId="0" xfId="43" applyNumberFormat="1" applyFont="1" applyAlignment="1">
      <alignment horizontal="center"/>
    </xf>
    <xf numFmtId="9" fontId="0" fillId="0" borderId="0" xfId="0" applyNumberFormat="1"/>
    <xf numFmtId="9" fontId="1" fillId="0" borderId="0" xfId="0" applyNumberFormat="1" applyFont="1" applyAlignment="1">
      <alignment horizontal="center"/>
    </xf>
    <xf numFmtId="164" fontId="0" fillId="0" borderId="0" xfId="0" applyNumberFormat="1"/>
    <xf numFmtId="9" fontId="0" fillId="0" borderId="0" xfId="0" applyNumberFormat="1" applyAlignment="1">
      <alignment horizontal="center"/>
    </xf>
    <xf numFmtId="0" fontId="19" fillId="34" borderId="11" xfId="0" applyFont="1" applyFill="1" applyBorder="1" applyAlignment="1">
      <alignment horizontal="center"/>
    </xf>
    <xf numFmtId="0" fontId="19" fillId="34" borderId="12" xfId="0" applyFont="1" applyFill="1" applyBorder="1" applyAlignment="1">
      <alignment horizontal="center"/>
    </xf>
    <xf numFmtId="0" fontId="19" fillId="34" borderId="13" xfId="0" applyFont="1" applyFill="1" applyBorder="1" applyAlignment="1">
      <alignment horizontal="center"/>
    </xf>
    <xf numFmtId="0" fontId="20" fillId="35" borderId="11" xfId="0" applyFont="1" applyFill="1" applyBorder="1"/>
    <xf numFmtId="0" fontId="20" fillId="35" borderId="13" xfId="0" applyFont="1" applyFill="1" applyBorder="1"/>
    <xf numFmtId="0" fontId="20" fillId="0" borderId="11" xfId="0" applyFont="1" applyBorder="1"/>
    <xf numFmtId="9" fontId="20" fillId="0" borderId="13" xfId="43" applyFont="1" applyBorder="1"/>
    <xf numFmtId="9" fontId="20" fillId="35" borderId="13" xfId="43" applyFont="1" applyFill="1" applyBorder="1"/>
    <xf numFmtId="9" fontId="0" fillId="33" borderId="10" xfId="43" applyFont="1" applyFill="1" applyBorder="1"/>
    <xf numFmtId="9" fontId="0" fillId="0" borderId="10" xfId="43" applyFont="1" applyBorder="1"/>
    <xf numFmtId="0" fontId="19" fillId="34" borderId="11" xfId="0" applyFont="1" applyFill="1" applyBorder="1" applyAlignment="1">
      <alignment horizontal="center" wrapText="1"/>
    </xf>
    <xf numFmtId="0" fontId="19" fillId="34" borderId="12" xfId="0" applyFont="1" applyFill="1" applyBorder="1" applyAlignment="1">
      <alignment horizontal="center" wrapText="1"/>
    </xf>
    <xf numFmtId="0" fontId="19" fillId="34" borderId="13" xfId="0" applyFont="1" applyFill="1" applyBorder="1" applyAlignment="1">
      <alignment horizontal="center" wrapText="1"/>
    </xf>
    <xf numFmtId="9" fontId="20" fillId="35" borderId="11" xfId="43" applyFont="1" applyFill="1" applyBorder="1"/>
    <xf numFmtId="164" fontId="20" fillId="0" borderId="13" xfId="42" applyNumberFormat="1" applyFon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90">
    <dxf>
      <numFmt numFmtId="0" formatCode="General"/>
    </dxf>
    <dxf>
      <numFmt numFmtId="0" formatCode="General"/>
    </dxf>
    <dxf>
      <alignment horizontal="center"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numFmt numFmtId="0" formatCode="General"/>
    </dxf>
    <dxf>
      <numFmt numFmtId="164" formatCode="_(* #,##0_);_(* \(#,##0\);_(* &quot;-&quot;??_);_(@_)"/>
    </dxf>
    <dxf>
      <numFmt numFmtId="0" formatCode="General"/>
    </dxf>
    <dxf>
      <numFmt numFmtId="164" formatCode="_(* #,##0_);_(* \(#,##0\);_(* &quot;-&quot;??_);_(@_)"/>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z val="10"/>
        <color theme="0"/>
      </font>
      <fill>
        <patternFill>
          <bgColor theme="0"/>
        </patternFill>
      </fill>
    </dxf>
    <dxf>
      <font>
        <b/>
        <i val="0"/>
        <sz val="10"/>
        <color theme="0"/>
      </font>
      <fill>
        <patternFill>
          <bgColor theme="0"/>
        </patternFill>
      </fill>
    </dxf>
  </dxfs>
  <tableStyles count="2" defaultTableStyle="TableStyleMedium2" defaultPivotStyle="PivotStyleLight16">
    <tableStyle name="Slicer Style 1" pivot="0" table="0" count="5" xr9:uid="{DD17A5D7-9E7B-44FC-A027-C8DCED5427BF}">
      <tableStyleElement type="wholeTable" dxfId="189"/>
    </tableStyle>
    <tableStyle name="Slicer Style 2" pivot="0" table="0" count="3" xr9:uid="{19E59436-2207-4CB7-83F3-A0AB930F3DF0}">
      <tableStyleElement type="wholeTable" dxfId="188"/>
    </tableStyle>
  </tableStyles>
  <colors>
    <mruColors>
      <color rgb="FF1F4E79"/>
      <color rgb="FF595959"/>
      <color rgb="FF3660AC"/>
      <color rgb="FFF2F2F2"/>
      <color rgb="FFD9D9D9"/>
      <color rgb="FF5A34A0"/>
      <color rgb="FF6A3FB5"/>
      <color rgb="FF7C52C4"/>
      <color rgb="FFFFFFFF"/>
      <color rgb="FF2E5292"/>
    </mruColors>
  </colors>
  <extLst>
    <ext xmlns:x14="http://schemas.microsoft.com/office/spreadsheetml/2009/9/main" uri="{46F421CA-312F-682f-3DD2-61675219B42D}">
      <x14:dxfs count="6">
        <dxf>
          <fill>
            <patternFill>
              <bgColor rgb="FF6A3FB5"/>
            </patternFill>
          </fill>
        </dxf>
        <dxf>
          <fill>
            <patternFill>
              <bgColor theme="0" tint="-0.34998626667073579"/>
            </patternFill>
          </fill>
        </dxf>
        <dxf>
          <font>
            <color theme="0"/>
          </font>
          <fill>
            <patternFill>
              <bgColor rgb="FF5A34A0"/>
            </patternFill>
          </fill>
        </dxf>
        <dxf>
          <font>
            <color theme="0"/>
          </font>
          <fill>
            <patternFill>
              <bgColor rgb="FF5A34A0"/>
            </patternFill>
          </fill>
        </dxf>
        <dxf>
          <font>
            <color theme="0"/>
          </font>
          <fill>
            <patternFill>
              <bgColor rgb="FF5A34A0"/>
            </patternFill>
          </fill>
        </dxf>
        <dxf>
          <font>
            <color theme="0"/>
          </font>
          <fill>
            <patternFill>
              <bgColor rgb="FF6A3FB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PCU!$AG$1</c:f>
              <c:strCache>
                <c:ptCount val="1"/>
                <c:pt idx="0">
                  <c:v>Avg Penetration Rate</c:v>
                </c:pt>
              </c:strCache>
            </c:strRef>
          </c:tx>
          <c:spPr>
            <a:solidFill>
              <a:srgbClr val="C8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PCU!$AF$2:$AF$5</c:f>
              <c:strCache>
                <c:ptCount val="4"/>
                <c:pt idx="0">
                  <c:v>Under 18</c:v>
                </c:pt>
                <c:pt idx="1">
                  <c:v>18–34</c:v>
                </c:pt>
                <c:pt idx="2">
                  <c:v>35–64</c:v>
                </c:pt>
                <c:pt idx="3">
                  <c:v>65+</c:v>
                </c:pt>
              </c:strCache>
            </c:strRef>
          </c:cat>
          <c:val>
            <c:numRef>
              <c:f>PCU!$AG$2:$AG$5</c:f>
              <c:numCache>
                <c:formatCode>0%</c:formatCode>
                <c:ptCount val="4"/>
                <c:pt idx="0">
                  <c:v>0.3355245014534487</c:v>
                </c:pt>
                <c:pt idx="1">
                  <c:v>0.57961753340253253</c:v>
                </c:pt>
                <c:pt idx="2">
                  <c:v>0.6021478235923714</c:v>
                </c:pt>
                <c:pt idx="3">
                  <c:v>0.28932646782805138</c:v>
                </c:pt>
              </c:numCache>
            </c:numRef>
          </c:val>
          <c:extLst>
            <c:ext xmlns:c16="http://schemas.microsoft.com/office/drawing/2014/chart" uri="{C3380CC4-5D6E-409C-BE32-E72D297353CC}">
              <c16:uniqueId val="{00000000-80A2-4CAA-8D03-E2FF59F44857}"/>
            </c:ext>
          </c:extLst>
        </c:ser>
        <c:ser>
          <c:idx val="1"/>
          <c:order val="1"/>
          <c:tx>
            <c:strRef>
              <c:f>PCU!$AH$1</c:f>
              <c:strCache>
                <c:ptCount val="1"/>
                <c:pt idx="0">
                  <c:v>Avg Uninsured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PCU!$AF$2:$AF$5</c:f>
              <c:strCache>
                <c:ptCount val="4"/>
                <c:pt idx="0">
                  <c:v>Under 18</c:v>
                </c:pt>
                <c:pt idx="1">
                  <c:v>18–34</c:v>
                </c:pt>
                <c:pt idx="2">
                  <c:v>35–64</c:v>
                </c:pt>
                <c:pt idx="3">
                  <c:v>65+</c:v>
                </c:pt>
              </c:strCache>
            </c:strRef>
          </c:cat>
          <c:val>
            <c:numRef>
              <c:f>PCU!$AH$2:$AH$5</c:f>
              <c:numCache>
                <c:formatCode>0%</c:formatCode>
                <c:ptCount val="4"/>
                <c:pt idx="0">
                  <c:v>0.66447549854655141</c:v>
                </c:pt>
                <c:pt idx="1">
                  <c:v>0.42038246659746731</c:v>
                </c:pt>
                <c:pt idx="2">
                  <c:v>0.39785217640762865</c:v>
                </c:pt>
                <c:pt idx="3">
                  <c:v>0.7106735321719484</c:v>
                </c:pt>
              </c:numCache>
            </c:numRef>
          </c:val>
          <c:extLst>
            <c:ext xmlns:c16="http://schemas.microsoft.com/office/drawing/2014/chart" uri="{C3380CC4-5D6E-409C-BE32-E72D297353CC}">
              <c16:uniqueId val="{00000001-80A2-4CAA-8D03-E2FF59F44857}"/>
            </c:ext>
          </c:extLst>
        </c:ser>
        <c:dLbls>
          <c:dLblPos val="outEnd"/>
          <c:showLegendKey val="0"/>
          <c:showVal val="1"/>
          <c:showCatName val="0"/>
          <c:showSerName val="0"/>
          <c:showPercent val="0"/>
          <c:showBubbleSize val="0"/>
        </c:dLbls>
        <c:gapWidth val="219"/>
        <c:overlap val="-27"/>
        <c:axId val="711625295"/>
        <c:axId val="711633615"/>
      </c:barChart>
      <c:catAx>
        <c:axId val="71162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33615"/>
        <c:crosses val="autoZero"/>
        <c:auto val="1"/>
        <c:lblAlgn val="ctr"/>
        <c:lblOffset val="100"/>
        <c:noMultiLvlLbl val="0"/>
      </c:catAx>
      <c:valAx>
        <c:axId val="71163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2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PCU!$R$1</c:f>
              <c:strCache>
                <c:ptCount val="1"/>
                <c:pt idx="0">
                  <c:v>Avg Coverage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PCU!$Q$2:$Q$5</c15:sqref>
                  </c15:fullRef>
                </c:ext>
              </c:extLst>
              <c:f>PCU!$Q$3:$Q$5</c:f>
              <c:strCache>
                <c:ptCount val="3"/>
                <c:pt idx="0">
                  <c:v>18–34</c:v>
                </c:pt>
                <c:pt idx="1">
                  <c:v>35–64</c:v>
                </c:pt>
                <c:pt idx="2">
                  <c:v>65+</c:v>
                </c:pt>
              </c:strCache>
            </c:strRef>
          </c:cat>
          <c:val>
            <c:numRef>
              <c:extLst>
                <c:ext xmlns:c15="http://schemas.microsoft.com/office/drawing/2012/chart" uri="{02D57815-91ED-43cb-92C2-25804820EDAC}">
                  <c15:fullRef>
                    <c15:sqref>PCU!$R$2:$R$5</c15:sqref>
                  </c15:fullRef>
                </c:ext>
              </c:extLst>
              <c:f>PCU!$R$3:$R$5</c:f>
              <c:numCache>
                <c:formatCode>0%</c:formatCode>
                <c:ptCount val="3"/>
                <c:pt idx="0">
                  <c:v>0.83199447436612295</c:v>
                </c:pt>
                <c:pt idx="1">
                  <c:v>0.85769394818595901</c:v>
                </c:pt>
                <c:pt idx="2">
                  <c:v>0.98814382779451382</c:v>
                </c:pt>
              </c:numCache>
            </c:numRef>
          </c:val>
          <c:extLst>
            <c:ext xmlns:c16="http://schemas.microsoft.com/office/drawing/2014/chart" uri="{C3380CC4-5D6E-409C-BE32-E72D297353CC}">
              <c16:uniqueId val="{00000000-9506-477A-B72F-4AB95D4F8BD5}"/>
            </c:ext>
          </c:extLst>
        </c:ser>
        <c:dLbls>
          <c:dLblPos val="outEnd"/>
          <c:showLegendKey val="0"/>
          <c:showVal val="1"/>
          <c:showCatName val="0"/>
          <c:showSerName val="0"/>
          <c:showPercent val="0"/>
          <c:showBubbleSize val="0"/>
        </c:dLbls>
        <c:gapWidth val="219"/>
        <c:overlap val="-27"/>
        <c:axId val="797607935"/>
        <c:axId val="797600031"/>
      </c:barChart>
      <c:catAx>
        <c:axId val="7976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00031"/>
        <c:crosses val="autoZero"/>
        <c:auto val="1"/>
        <c:lblAlgn val="ctr"/>
        <c:lblOffset val="100"/>
        <c:noMultiLvlLbl val="0"/>
      </c:catAx>
      <c:valAx>
        <c:axId val="797600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0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PCU!$H$1</c:f>
              <c:strCache>
                <c:ptCount val="1"/>
                <c:pt idx="0">
                  <c:v>Avg Coverage Rate</c:v>
                </c:pt>
              </c:strCache>
            </c:strRef>
          </c:tx>
          <c:spPr>
            <a:ln w="19050" cap="rnd">
              <a:noFill/>
              <a:round/>
            </a:ln>
            <a:effectLst/>
          </c:spPr>
          <c:marker>
            <c:symbol val="circle"/>
            <c:size val="15"/>
            <c:spPr>
              <a:solidFill>
                <a:srgbClr val="C00000"/>
              </a:solidFill>
              <a:ln w="19050">
                <a:solidFill>
                  <a:schemeClr val="bg1"/>
                </a:solidFill>
              </a:ln>
              <a:effectLst/>
            </c:spPr>
          </c:marker>
          <c:dPt>
            <c:idx val="1"/>
            <c:marker>
              <c:symbol val="circle"/>
              <c:size val="15"/>
              <c:spPr>
                <a:solidFill>
                  <a:srgbClr val="C00000"/>
                </a:solidFill>
                <a:ln w="19050">
                  <a:solidFill>
                    <a:schemeClr val="bg1"/>
                  </a:solidFill>
                </a:ln>
                <a:effectLst>
                  <a:glow>
                    <a:srgbClr val="C00000">
                      <a:alpha val="40000"/>
                    </a:srgbClr>
                  </a:glow>
                  <a:outerShdw blurRad="50800" dist="50800" dir="5400000" sx="25000" sy="25000" algn="ctr" rotWithShape="0">
                    <a:srgbClr val="C00000">
                      <a:alpha val="96000"/>
                    </a:srgbClr>
                  </a:outerShdw>
                  <a:softEdge rad="0"/>
                </a:effectLst>
              </c:spPr>
            </c:marker>
            <c:bubble3D val="0"/>
            <c:spPr>
              <a:ln w="19050" cap="rnd">
                <a:noFill/>
                <a:round/>
              </a:ln>
              <a:effectLst>
                <a:glow>
                  <a:srgbClr val="C00000">
                    <a:alpha val="40000"/>
                  </a:srgbClr>
                </a:glow>
                <a:outerShdw blurRad="50800" dist="50800" dir="5400000" sx="25000" sy="25000" algn="ctr" rotWithShape="0">
                  <a:srgbClr val="C00000">
                    <a:alpha val="96000"/>
                  </a:srgbClr>
                </a:outerShdw>
                <a:softEdge rad="0"/>
              </a:effectLst>
            </c:spPr>
            <c:extLst>
              <c:ext xmlns:c16="http://schemas.microsoft.com/office/drawing/2014/chart" uri="{C3380CC4-5D6E-409C-BE32-E72D297353CC}">
                <c16:uniqueId val="{00000002-2414-4E85-B7F1-21BEF9ACF6D3}"/>
              </c:ext>
            </c:extLst>
          </c:dPt>
          <c:dPt>
            <c:idx val="2"/>
            <c:marker>
              <c:symbol val="circle"/>
              <c:size val="15"/>
              <c:spPr>
                <a:solidFill>
                  <a:srgbClr val="00B050"/>
                </a:solidFill>
                <a:ln w="19050">
                  <a:solidFill>
                    <a:schemeClr val="bg1"/>
                  </a:solidFill>
                </a:ln>
                <a:effectLst/>
              </c:spPr>
            </c:marker>
            <c:bubble3D val="0"/>
            <c:extLst>
              <c:ext xmlns:c16="http://schemas.microsoft.com/office/drawing/2014/chart" uri="{C3380CC4-5D6E-409C-BE32-E72D297353CC}">
                <c16:uniqueId val="{00000003-2414-4E85-B7F1-21BEF9ACF6D3}"/>
              </c:ext>
            </c:extLst>
          </c:dPt>
          <c:dPt>
            <c:idx val="3"/>
            <c:marker>
              <c:symbol val="circle"/>
              <c:size val="15"/>
              <c:spPr>
                <a:solidFill>
                  <a:schemeClr val="accent1"/>
                </a:solidFill>
                <a:ln w="19050">
                  <a:solidFill>
                    <a:schemeClr val="bg1"/>
                  </a:solidFill>
                </a:ln>
                <a:effectLst/>
              </c:spPr>
            </c:marker>
            <c:bubble3D val="0"/>
            <c:extLst>
              <c:ext xmlns:c16="http://schemas.microsoft.com/office/drawing/2014/chart" uri="{C3380CC4-5D6E-409C-BE32-E72D297353CC}">
                <c16:uniqueId val="{00000004-2414-4E85-B7F1-21BEF9ACF6D3}"/>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414-4E85-B7F1-21BEF9ACF6D3}"/>
                </c:ext>
              </c:extLst>
            </c:dLbl>
            <c:dLbl>
              <c:idx val="1"/>
              <c:tx>
                <c:rich>
                  <a:bodyPr/>
                  <a:lstStyle/>
                  <a:p>
                    <a:fld id="{69E10D73-55EF-4B5A-8E88-5D7A1A7C49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14-4E85-B7F1-21BEF9ACF6D3}"/>
                </c:ext>
              </c:extLst>
            </c:dLbl>
            <c:dLbl>
              <c:idx val="2"/>
              <c:tx>
                <c:rich>
                  <a:bodyPr/>
                  <a:lstStyle/>
                  <a:p>
                    <a:fld id="{C515F2CA-E0E0-44EE-859B-A4392FE597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14-4E85-B7F1-21BEF9ACF6D3}"/>
                </c:ext>
              </c:extLst>
            </c:dLbl>
            <c:dLbl>
              <c:idx val="3"/>
              <c:tx>
                <c:rich>
                  <a:bodyPr/>
                  <a:lstStyle/>
                  <a:p>
                    <a:fld id="{3E872830-6C6D-4FCD-8615-6A5973C54C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14-4E85-B7F1-21BEF9ACF6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PCU!$G$2:$G$5</c:f>
              <c:numCache>
                <c:formatCode>0%</c:formatCode>
                <c:ptCount val="4"/>
                <c:pt idx="0">
                  <c:v>0.3355245014534487</c:v>
                </c:pt>
                <c:pt idx="1">
                  <c:v>0.57961753340253253</c:v>
                </c:pt>
                <c:pt idx="2">
                  <c:v>0.6021478235923714</c:v>
                </c:pt>
                <c:pt idx="3">
                  <c:v>0.28932646782805138</c:v>
                </c:pt>
              </c:numCache>
            </c:numRef>
          </c:xVal>
          <c:yVal>
            <c:numRef>
              <c:f>PCU!$H$2:$H$5</c:f>
              <c:numCache>
                <c:formatCode>0%</c:formatCode>
                <c:ptCount val="4"/>
                <c:pt idx="1">
                  <c:v>0.83199447436612295</c:v>
                </c:pt>
                <c:pt idx="2">
                  <c:v>0.85769394818595901</c:v>
                </c:pt>
                <c:pt idx="3">
                  <c:v>0.98814382779451382</c:v>
                </c:pt>
              </c:numCache>
            </c:numRef>
          </c:yVal>
          <c:smooth val="0"/>
          <c:extLst>
            <c:ext xmlns:c15="http://schemas.microsoft.com/office/drawing/2012/chart" uri="{02D57815-91ED-43cb-92C2-25804820EDAC}">
              <c15:datalabelsRange>
                <c15:f>PCU!$F$2:$F$5</c15:f>
                <c15:dlblRangeCache>
                  <c:ptCount val="4"/>
                  <c:pt idx="0">
                    <c:v>Under 18</c:v>
                  </c:pt>
                  <c:pt idx="1">
                    <c:v>18–34</c:v>
                  </c:pt>
                  <c:pt idx="2">
                    <c:v>35–64</c:v>
                  </c:pt>
                  <c:pt idx="3">
                    <c:v>65+</c:v>
                  </c:pt>
                </c15:dlblRangeCache>
              </c15:datalabelsRange>
            </c:ext>
            <c:ext xmlns:c16="http://schemas.microsoft.com/office/drawing/2014/chart" uri="{C3380CC4-5D6E-409C-BE32-E72D297353CC}">
              <c16:uniqueId val="{00000000-2414-4E85-B7F1-21BEF9ACF6D3}"/>
            </c:ext>
          </c:extLst>
        </c:ser>
        <c:dLbls>
          <c:showLegendKey val="0"/>
          <c:showVal val="0"/>
          <c:showCatName val="0"/>
          <c:showSerName val="0"/>
          <c:showPercent val="0"/>
          <c:showBubbleSize val="0"/>
        </c:dLbls>
        <c:axId val="24064608"/>
        <c:axId val="24065024"/>
      </c:scatterChart>
      <c:valAx>
        <c:axId val="24064608"/>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5024"/>
        <c:crosses val="autoZero"/>
        <c:crossBetween val="midCat"/>
      </c:valAx>
      <c:valAx>
        <c:axId val="2406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PCU!$AG$1</c:f>
              <c:strCache>
                <c:ptCount val="1"/>
                <c:pt idx="0">
                  <c:v>Avg Penetration Rate</c:v>
                </c:pt>
              </c:strCache>
            </c:strRef>
          </c:tx>
          <c:spPr>
            <a:solidFill>
              <a:srgbClr val="C8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PCU!$AF$2:$AF$5</c:f>
              <c:strCache>
                <c:ptCount val="4"/>
                <c:pt idx="0">
                  <c:v>Under 18</c:v>
                </c:pt>
                <c:pt idx="1">
                  <c:v>18–34</c:v>
                </c:pt>
                <c:pt idx="2">
                  <c:v>35–64</c:v>
                </c:pt>
                <c:pt idx="3">
                  <c:v>65+</c:v>
                </c:pt>
              </c:strCache>
            </c:strRef>
          </c:cat>
          <c:val>
            <c:numRef>
              <c:f>PCU!$AG$2:$AG$5</c:f>
              <c:numCache>
                <c:formatCode>0%</c:formatCode>
                <c:ptCount val="4"/>
                <c:pt idx="0">
                  <c:v>0.3355245014534487</c:v>
                </c:pt>
                <c:pt idx="1">
                  <c:v>0.57961753340253253</c:v>
                </c:pt>
                <c:pt idx="2">
                  <c:v>0.6021478235923714</c:v>
                </c:pt>
                <c:pt idx="3">
                  <c:v>0.28932646782805138</c:v>
                </c:pt>
              </c:numCache>
            </c:numRef>
          </c:val>
          <c:extLst>
            <c:ext xmlns:c16="http://schemas.microsoft.com/office/drawing/2014/chart" uri="{C3380CC4-5D6E-409C-BE32-E72D297353CC}">
              <c16:uniqueId val="{00000000-13EE-487A-962F-538B581A30AB}"/>
            </c:ext>
          </c:extLst>
        </c:ser>
        <c:ser>
          <c:idx val="1"/>
          <c:order val="1"/>
          <c:tx>
            <c:strRef>
              <c:f>PCU!$AH$1</c:f>
              <c:strCache>
                <c:ptCount val="1"/>
                <c:pt idx="0">
                  <c:v>Avg Uninsured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PCU!$AF$2:$AF$5</c:f>
              <c:strCache>
                <c:ptCount val="4"/>
                <c:pt idx="0">
                  <c:v>Under 18</c:v>
                </c:pt>
                <c:pt idx="1">
                  <c:v>18–34</c:v>
                </c:pt>
                <c:pt idx="2">
                  <c:v>35–64</c:v>
                </c:pt>
                <c:pt idx="3">
                  <c:v>65+</c:v>
                </c:pt>
              </c:strCache>
            </c:strRef>
          </c:cat>
          <c:val>
            <c:numRef>
              <c:f>PCU!$AH$2:$AH$5</c:f>
              <c:numCache>
                <c:formatCode>0%</c:formatCode>
                <c:ptCount val="4"/>
                <c:pt idx="0">
                  <c:v>0.66447549854655141</c:v>
                </c:pt>
                <c:pt idx="1">
                  <c:v>0.42038246659746731</c:v>
                </c:pt>
                <c:pt idx="2">
                  <c:v>0.39785217640762865</c:v>
                </c:pt>
                <c:pt idx="3">
                  <c:v>0.7106735321719484</c:v>
                </c:pt>
              </c:numCache>
            </c:numRef>
          </c:val>
          <c:extLst>
            <c:ext xmlns:c16="http://schemas.microsoft.com/office/drawing/2014/chart" uri="{C3380CC4-5D6E-409C-BE32-E72D297353CC}">
              <c16:uniqueId val="{00000001-13EE-487A-962F-538B581A30AB}"/>
            </c:ext>
          </c:extLst>
        </c:ser>
        <c:dLbls>
          <c:dLblPos val="outEnd"/>
          <c:showLegendKey val="0"/>
          <c:showVal val="1"/>
          <c:showCatName val="0"/>
          <c:showSerName val="0"/>
          <c:showPercent val="0"/>
          <c:showBubbleSize val="0"/>
        </c:dLbls>
        <c:gapWidth val="219"/>
        <c:overlap val="-27"/>
        <c:axId val="711625295"/>
        <c:axId val="711633615"/>
      </c:barChart>
      <c:catAx>
        <c:axId val="71162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33615"/>
        <c:crosses val="autoZero"/>
        <c:auto val="1"/>
        <c:lblAlgn val="ctr"/>
        <c:lblOffset val="100"/>
        <c:noMultiLvlLbl val="0"/>
      </c:catAx>
      <c:valAx>
        <c:axId val="711633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25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PCU!$R$1</c:f>
              <c:strCache>
                <c:ptCount val="1"/>
                <c:pt idx="0">
                  <c:v>Avg Coverage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PCU!$Q$2:$Q$5</c15:sqref>
                  </c15:fullRef>
                </c:ext>
              </c:extLst>
              <c:f>PCU!$Q$3:$Q$5</c:f>
              <c:strCache>
                <c:ptCount val="3"/>
                <c:pt idx="0">
                  <c:v>18–34</c:v>
                </c:pt>
                <c:pt idx="1">
                  <c:v>35–64</c:v>
                </c:pt>
                <c:pt idx="2">
                  <c:v>65+</c:v>
                </c:pt>
              </c:strCache>
            </c:strRef>
          </c:cat>
          <c:val>
            <c:numRef>
              <c:extLst>
                <c:ext xmlns:c15="http://schemas.microsoft.com/office/drawing/2012/chart" uri="{02D57815-91ED-43cb-92C2-25804820EDAC}">
                  <c15:fullRef>
                    <c15:sqref>PCU!$R$2:$R$5</c15:sqref>
                  </c15:fullRef>
                </c:ext>
              </c:extLst>
              <c:f>PCU!$R$3:$R$5</c:f>
              <c:numCache>
                <c:formatCode>0%</c:formatCode>
                <c:ptCount val="3"/>
                <c:pt idx="0">
                  <c:v>0.83199447436612295</c:v>
                </c:pt>
                <c:pt idx="1">
                  <c:v>0.85769394818595901</c:v>
                </c:pt>
                <c:pt idx="2">
                  <c:v>0.98814382779451382</c:v>
                </c:pt>
              </c:numCache>
            </c:numRef>
          </c:val>
          <c:extLst>
            <c:ext xmlns:c16="http://schemas.microsoft.com/office/drawing/2014/chart" uri="{C3380CC4-5D6E-409C-BE32-E72D297353CC}">
              <c16:uniqueId val="{00000000-FCDE-4958-8558-B9C52514CBB1}"/>
            </c:ext>
          </c:extLst>
        </c:ser>
        <c:dLbls>
          <c:dLblPos val="outEnd"/>
          <c:showLegendKey val="0"/>
          <c:showVal val="1"/>
          <c:showCatName val="0"/>
          <c:showSerName val="0"/>
          <c:showPercent val="0"/>
          <c:showBubbleSize val="0"/>
        </c:dLbls>
        <c:gapWidth val="219"/>
        <c:overlap val="-27"/>
        <c:axId val="797607935"/>
        <c:axId val="797600031"/>
      </c:barChart>
      <c:catAx>
        <c:axId val="7976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00031"/>
        <c:crosses val="autoZero"/>
        <c:auto val="1"/>
        <c:lblAlgn val="ctr"/>
        <c:lblOffset val="100"/>
        <c:noMultiLvlLbl val="0"/>
      </c:catAx>
      <c:valAx>
        <c:axId val="79760003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0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99641313816251"/>
          <c:y val="4.3248186496372992E-2"/>
          <c:w val="0.81691110528992095"/>
          <c:h val="0.81345836691673379"/>
        </c:manualLayout>
      </c:layout>
      <c:scatterChart>
        <c:scatterStyle val="lineMarker"/>
        <c:varyColors val="0"/>
        <c:ser>
          <c:idx val="0"/>
          <c:order val="0"/>
          <c:tx>
            <c:strRef>
              <c:f>PCU!$H$1</c:f>
              <c:strCache>
                <c:ptCount val="1"/>
                <c:pt idx="0">
                  <c:v>Avg Coverage Rate</c:v>
                </c:pt>
              </c:strCache>
            </c:strRef>
          </c:tx>
          <c:spPr>
            <a:ln w="19050" cap="rnd">
              <a:noFill/>
              <a:round/>
            </a:ln>
            <a:effectLst/>
          </c:spPr>
          <c:marker>
            <c:symbol val="circle"/>
            <c:size val="8"/>
            <c:spPr>
              <a:solidFill>
                <a:srgbClr val="C00000"/>
              </a:solidFill>
              <a:ln w="19050">
                <a:solidFill>
                  <a:schemeClr val="bg1"/>
                </a:solidFill>
              </a:ln>
              <a:effectLst/>
            </c:spPr>
          </c:marker>
          <c:dPt>
            <c:idx val="1"/>
            <c:marker>
              <c:symbol val="circle"/>
              <c:size val="8"/>
              <c:spPr>
                <a:solidFill>
                  <a:srgbClr val="C00000"/>
                </a:solidFill>
                <a:ln w="19050">
                  <a:solidFill>
                    <a:schemeClr val="bg1"/>
                  </a:solidFill>
                </a:ln>
                <a:effectLst>
                  <a:glow>
                    <a:srgbClr val="C00000"/>
                  </a:glow>
                  <a:outerShdw dist="50800" dir="5400000" sx="1000" sy="1000" algn="ctr" rotWithShape="0">
                    <a:srgbClr val="C00000"/>
                  </a:outerShdw>
                  <a:softEdge rad="0"/>
                </a:effectLst>
              </c:spPr>
            </c:marker>
            <c:bubble3D val="0"/>
            <c:spPr>
              <a:ln w="19050" cap="rnd">
                <a:noFill/>
                <a:round/>
              </a:ln>
              <a:effectLst>
                <a:glow>
                  <a:srgbClr val="C00000"/>
                </a:glow>
                <a:outerShdw dist="50800" dir="5400000" sx="1000" sy="1000" algn="ctr" rotWithShape="0">
                  <a:srgbClr val="C00000"/>
                </a:outerShdw>
                <a:softEdge rad="0"/>
              </a:effectLst>
            </c:spPr>
            <c:extLst>
              <c:ext xmlns:c16="http://schemas.microsoft.com/office/drawing/2014/chart" uri="{C3380CC4-5D6E-409C-BE32-E72D297353CC}">
                <c16:uniqueId val="{00000001-5E1E-4102-AF0F-8DE4916E7DC9}"/>
              </c:ext>
            </c:extLst>
          </c:dPt>
          <c:dPt>
            <c:idx val="2"/>
            <c:marker>
              <c:symbol val="circle"/>
              <c:size val="8"/>
              <c:spPr>
                <a:solidFill>
                  <a:srgbClr val="00B050"/>
                </a:solidFill>
                <a:ln w="19050">
                  <a:solidFill>
                    <a:schemeClr val="bg1"/>
                  </a:solidFill>
                </a:ln>
                <a:effectLst/>
              </c:spPr>
            </c:marker>
            <c:bubble3D val="0"/>
            <c:extLst>
              <c:ext xmlns:c16="http://schemas.microsoft.com/office/drawing/2014/chart" uri="{C3380CC4-5D6E-409C-BE32-E72D297353CC}">
                <c16:uniqueId val="{00000002-5E1E-4102-AF0F-8DE4916E7DC9}"/>
              </c:ext>
            </c:extLst>
          </c:dPt>
          <c:dPt>
            <c:idx val="3"/>
            <c:marker>
              <c:symbol val="circle"/>
              <c:size val="8"/>
              <c:spPr>
                <a:solidFill>
                  <a:schemeClr val="accent1"/>
                </a:solidFill>
                <a:ln w="19050">
                  <a:solidFill>
                    <a:schemeClr val="bg1"/>
                  </a:solidFill>
                </a:ln>
                <a:effectLst/>
              </c:spPr>
            </c:marker>
            <c:bubble3D val="0"/>
            <c:extLst>
              <c:ext xmlns:c16="http://schemas.microsoft.com/office/drawing/2014/chart" uri="{C3380CC4-5D6E-409C-BE32-E72D297353CC}">
                <c16:uniqueId val="{00000003-5E1E-4102-AF0F-8DE4916E7DC9}"/>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E1E-4102-AF0F-8DE4916E7DC9}"/>
                </c:ext>
              </c:extLst>
            </c:dLbl>
            <c:dLbl>
              <c:idx val="1"/>
              <c:tx>
                <c:rich>
                  <a:bodyPr/>
                  <a:lstStyle/>
                  <a:p>
                    <a:fld id="{278D8EC2-D7D7-43C4-84A8-185AB335F5D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1E-4102-AF0F-8DE4916E7DC9}"/>
                </c:ext>
              </c:extLst>
            </c:dLbl>
            <c:dLbl>
              <c:idx val="2"/>
              <c:tx>
                <c:rich>
                  <a:bodyPr/>
                  <a:lstStyle/>
                  <a:p>
                    <a:fld id="{22F8E347-570D-4F5E-8666-108CB49FFB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E1E-4102-AF0F-8DE4916E7DC9}"/>
                </c:ext>
              </c:extLst>
            </c:dLbl>
            <c:dLbl>
              <c:idx val="3"/>
              <c:tx>
                <c:rich>
                  <a:bodyPr/>
                  <a:lstStyle/>
                  <a:p>
                    <a:fld id="{2C3D0EFB-F3F8-490A-B1ED-8D68B3D223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E1E-4102-AF0F-8DE4916E7D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PCU!$G$2:$G$5</c:f>
              <c:numCache>
                <c:formatCode>0%</c:formatCode>
                <c:ptCount val="4"/>
                <c:pt idx="0">
                  <c:v>0.3355245014534487</c:v>
                </c:pt>
                <c:pt idx="1">
                  <c:v>0.57961753340253253</c:v>
                </c:pt>
                <c:pt idx="2">
                  <c:v>0.6021478235923714</c:v>
                </c:pt>
                <c:pt idx="3">
                  <c:v>0.28932646782805138</c:v>
                </c:pt>
              </c:numCache>
            </c:numRef>
          </c:xVal>
          <c:yVal>
            <c:numRef>
              <c:f>PCU!$H$2:$H$5</c:f>
              <c:numCache>
                <c:formatCode>0%</c:formatCode>
                <c:ptCount val="4"/>
                <c:pt idx="1">
                  <c:v>0.83199447436612295</c:v>
                </c:pt>
                <c:pt idx="2">
                  <c:v>0.85769394818595901</c:v>
                </c:pt>
                <c:pt idx="3">
                  <c:v>0.98814382779451382</c:v>
                </c:pt>
              </c:numCache>
            </c:numRef>
          </c:yVal>
          <c:smooth val="0"/>
          <c:extLst>
            <c:ext xmlns:c15="http://schemas.microsoft.com/office/drawing/2012/chart" uri="{02D57815-91ED-43cb-92C2-25804820EDAC}">
              <c15:datalabelsRange>
                <c15:f>PCU!$F$2:$F$5</c15:f>
                <c15:dlblRangeCache>
                  <c:ptCount val="4"/>
                  <c:pt idx="0">
                    <c:v>Under 18</c:v>
                  </c:pt>
                  <c:pt idx="1">
                    <c:v>18–34</c:v>
                  </c:pt>
                  <c:pt idx="2">
                    <c:v>35–64</c:v>
                  </c:pt>
                  <c:pt idx="3">
                    <c:v>65+</c:v>
                  </c:pt>
                </c15:dlblRangeCache>
              </c15:datalabelsRange>
            </c:ext>
            <c:ext xmlns:c16="http://schemas.microsoft.com/office/drawing/2014/chart" uri="{C3380CC4-5D6E-409C-BE32-E72D297353CC}">
              <c16:uniqueId val="{00000005-5E1E-4102-AF0F-8DE4916E7DC9}"/>
            </c:ext>
          </c:extLst>
        </c:ser>
        <c:dLbls>
          <c:showLegendKey val="0"/>
          <c:showVal val="0"/>
          <c:showCatName val="0"/>
          <c:showSerName val="0"/>
          <c:showPercent val="0"/>
          <c:showBubbleSize val="0"/>
        </c:dLbls>
        <c:axId val="24064608"/>
        <c:axId val="24065024"/>
      </c:scatterChart>
      <c:valAx>
        <c:axId val="24064608"/>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5024"/>
        <c:crosses val="autoZero"/>
        <c:crossBetween val="midCat"/>
      </c:valAx>
      <c:valAx>
        <c:axId val="24065024"/>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31</xdr:col>
      <xdr:colOff>47256</xdr:colOff>
      <xdr:row>8</xdr:row>
      <xdr:rowOff>38691</xdr:rowOff>
    </xdr:from>
    <xdr:to>
      <xdr:col>34</xdr:col>
      <xdr:colOff>4430</xdr:colOff>
      <xdr:row>23</xdr:row>
      <xdr:rowOff>12995</xdr:rowOff>
    </xdr:to>
    <xdr:graphicFrame macro="">
      <xdr:nvGraphicFramePr>
        <xdr:cNvPr id="3" name="Chart 2">
          <a:extLst>
            <a:ext uri="{FF2B5EF4-FFF2-40B4-BE49-F238E27FC236}">
              <a16:creationId xmlns:a16="http://schemas.microsoft.com/office/drawing/2014/main" id="{6417AD93-E3DC-45D5-81FA-3AE6BC317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305686</xdr:colOff>
      <xdr:row>8</xdr:row>
      <xdr:rowOff>31308</xdr:rowOff>
    </xdr:from>
    <xdr:to>
      <xdr:col>21</xdr:col>
      <xdr:colOff>248093</xdr:colOff>
      <xdr:row>23</xdr:row>
      <xdr:rowOff>5612</xdr:rowOff>
    </xdr:to>
    <xdr:graphicFrame macro="">
      <xdr:nvGraphicFramePr>
        <xdr:cNvPr id="5" name="Chart 4">
          <a:extLst>
            <a:ext uri="{FF2B5EF4-FFF2-40B4-BE49-F238E27FC236}">
              <a16:creationId xmlns:a16="http://schemas.microsoft.com/office/drawing/2014/main" id="{B7A92090-8740-42DA-BFEB-D4B124DE5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2954</xdr:colOff>
      <xdr:row>7</xdr:row>
      <xdr:rowOff>119912</xdr:rowOff>
    </xdr:from>
    <xdr:to>
      <xdr:col>7</xdr:col>
      <xdr:colOff>956931</xdr:colOff>
      <xdr:row>22</xdr:row>
      <xdr:rowOff>94216</xdr:rowOff>
    </xdr:to>
    <xdr:graphicFrame macro="">
      <xdr:nvGraphicFramePr>
        <xdr:cNvPr id="4" name="Chart 3">
          <a:extLst>
            <a:ext uri="{FF2B5EF4-FFF2-40B4-BE49-F238E27FC236}">
              <a16:creationId xmlns:a16="http://schemas.microsoft.com/office/drawing/2014/main" id="{86204228-B75B-4129-B2A5-3EF246F7F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51</xdr:col>
      <xdr:colOff>542260</xdr:colOff>
      <xdr:row>6</xdr:row>
      <xdr:rowOff>152694</xdr:rowOff>
    </xdr:from>
    <xdr:to>
      <xdr:col>52</xdr:col>
      <xdr:colOff>1123211</xdr:colOff>
      <xdr:row>20</xdr:row>
      <xdr:rowOff>92517</xdr:rowOff>
    </xdr:to>
    <mc:AlternateContent xmlns:mc="http://schemas.openxmlformats.org/markup-compatibility/2006" xmlns:a14="http://schemas.microsoft.com/office/drawing/2010/main">
      <mc:Choice Requires="a14">
        <xdr:graphicFrame macro="">
          <xdr:nvGraphicFramePr>
            <xdr:cNvPr id="20" name="Neighborhood">
              <a:extLst>
                <a:ext uri="{FF2B5EF4-FFF2-40B4-BE49-F238E27FC236}">
                  <a16:creationId xmlns:a16="http://schemas.microsoft.com/office/drawing/2014/main" id="{CDDE31BC-80BD-0942-11A7-C9796DE055D7}"/>
                </a:ext>
              </a:extLst>
            </xdr:cNvPr>
            <xdr:cNvGraphicFramePr/>
          </xdr:nvGraphicFramePr>
          <xdr:xfrm>
            <a:off x="0" y="0"/>
            <a:ext cx="0" cy="0"/>
          </xdr:xfrm>
          <a:graphic>
            <a:graphicData uri="http://schemas.microsoft.com/office/drawing/2010/slicer">
              <sle:slicer xmlns:sle="http://schemas.microsoft.com/office/drawing/2010/slicer" name="Neighborhood"/>
            </a:graphicData>
          </a:graphic>
        </xdr:graphicFrame>
      </mc:Choice>
      <mc:Fallback xmlns="">
        <xdr:sp macro="" textlink="">
          <xdr:nvSpPr>
            <xdr:cNvPr id="0" name=""/>
            <xdr:cNvSpPr>
              <a:spLocks noTextEdit="1"/>
            </xdr:cNvSpPr>
          </xdr:nvSpPr>
          <xdr:spPr>
            <a:xfrm>
              <a:off x="46919411" y="144484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10</xdr:col>
      <xdr:colOff>38100</xdr:colOff>
      <xdr:row>3</xdr:row>
      <xdr:rowOff>19050</xdr:rowOff>
    </xdr:from>
    <xdr:ext cx="609600" cy="264560"/>
    <xdr:sp macro="" textlink="">
      <xdr:nvSpPr>
        <xdr:cNvPr id="19" name="TextBox 18">
          <a:extLst>
            <a:ext uri="{FF2B5EF4-FFF2-40B4-BE49-F238E27FC236}">
              <a16:creationId xmlns:a16="http://schemas.microsoft.com/office/drawing/2014/main" id="{5085C26E-2A26-4D74-90E0-3EE53F764596}"/>
            </a:ext>
          </a:extLst>
        </xdr:cNvPr>
        <xdr:cNvSpPr txBox="1"/>
      </xdr:nvSpPr>
      <xdr:spPr>
        <a:xfrm>
          <a:off x="6134100" y="571500"/>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12</xdr:col>
      <xdr:colOff>528532</xdr:colOff>
      <xdr:row>1</xdr:row>
      <xdr:rowOff>49674</xdr:rowOff>
    </xdr:from>
    <xdr:to>
      <xdr:col>31</xdr:col>
      <xdr:colOff>196377</xdr:colOff>
      <xdr:row>43</xdr:row>
      <xdr:rowOff>60095</xdr:rowOff>
    </xdr:to>
    <xdr:grpSp>
      <xdr:nvGrpSpPr>
        <xdr:cNvPr id="33" name="Group 32">
          <a:extLst>
            <a:ext uri="{FF2B5EF4-FFF2-40B4-BE49-F238E27FC236}">
              <a16:creationId xmlns:a16="http://schemas.microsoft.com/office/drawing/2014/main" id="{5F895318-6E43-9F04-A4A0-324BDA2EB03D}"/>
            </a:ext>
          </a:extLst>
        </xdr:cNvPr>
        <xdr:cNvGrpSpPr/>
      </xdr:nvGrpSpPr>
      <xdr:grpSpPr>
        <a:xfrm>
          <a:off x="7890227" y="232640"/>
          <a:ext cx="11323862" cy="7694997"/>
          <a:chOff x="7879464" y="1244335"/>
          <a:chExt cx="11323862" cy="7694997"/>
        </a:xfrm>
      </xdr:grpSpPr>
      <xdr:sp macro="" textlink="Dashboard!$AA$85">
        <xdr:nvSpPr>
          <xdr:cNvPr id="2" name="Rectangle 1">
            <a:extLst>
              <a:ext uri="{FF2B5EF4-FFF2-40B4-BE49-F238E27FC236}">
                <a16:creationId xmlns:a16="http://schemas.microsoft.com/office/drawing/2014/main" id="{DDC3BD4E-D989-4A51-B683-CF54FDE13948}"/>
              </a:ext>
            </a:extLst>
          </xdr:cNvPr>
          <xdr:cNvSpPr/>
        </xdr:nvSpPr>
        <xdr:spPr>
          <a:xfrm>
            <a:off x="7879464" y="1244335"/>
            <a:ext cx="11323862" cy="769499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fld id="{B0EF967E-2FD0-4F22-B703-932C3339E4EE}" type="TxLink">
              <a:rPr lang="en-US" sz="1100" b="0" i="0" u="none" strike="noStrike">
                <a:solidFill>
                  <a:srgbClr val="000000"/>
                </a:solidFill>
                <a:latin typeface="Calibri"/>
                <a:ea typeface="Calibri"/>
                <a:cs typeface="Calibri"/>
              </a:rPr>
              <a:pPr algn="r"/>
              <a:t> </a:t>
            </a:fld>
            <a:endParaRPr lang="en-US" sz="1100"/>
          </a:p>
        </xdr:txBody>
      </xdr:sp>
      <xdr:grpSp>
        <xdr:nvGrpSpPr>
          <xdr:cNvPr id="39" name="Group 38">
            <a:extLst>
              <a:ext uri="{FF2B5EF4-FFF2-40B4-BE49-F238E27FC236}">
                <a16:creationId xmlns:a16="http://schemas.microsoft.com/office/drawing/2014/main" id="{6EDED74A-6EB3-07D4-2A13-6E63E7DEEC82}"/>
              </a:ext>
            </a:extLst>
          </xdr:cNvPr>
          <xdr:cNvGrpSpPr/>
        </xdr:nvGrpSpPr>
        <xdr:grpSpPr>
          <a:xfrm>
            <a:off x="8167015" y="2350693"/>
            <a:ext cx="10748760" cy="1420999"/>
            <a:chOff x="6093804" y="1477328"/>
            <a:chExt cx="10775290" cy="1390414"/>
          </a:xfrm>
        </xdr:grpSpPr>
        <xdr:grpSp>
          <xdr:nvGrpSpPr>
            <xdr:cNvPr id="26" name="Group 25">
              <a:extLst>
                <a:ext uri="{FF2B5EF4-FFF2-40B4-BE49-F238E27FC236}">
                  <a16:creationId xmlns:a16="http://schemas.microsoft.com/office/drawing/2014/main" id="{45F058D8-7C1C-4A8C-ABD2-7396C14A9D85}"/>
                </a:ext>
              </a:extLst>
            </xdr:cNvPr>
            <xdr:cNvGrpSpPr/>
          </xdr:nvGrpSpPr>
          <xdr:grpSpPr>
            <a:xfrm>
              <a:off x="14341180" y="1547280"/>
              <a:ext cx="2527914" cy="997975"/>
              <a:chOff x="7264400" y="127000"/>
              <a:chExt cx="2508250" cy="996950"/>
            </a:xfrm>
          </xdr:grpSpPr>
          <xdr:sp macro="" textlink="">
            <xdr:nvSpPr>
              <xdr:cNvPr id="23" name="Rectangle: Rounded Corners 22">
                <a:extLst>
                  <a:ext uri="{FF2B5EF4-FFF2-40B4-BE49-F238E27FC236}">
                    <a16:creationId xmlns:a16="http://schemas.microsoft.com/office/drawing/2014/main" id="{99A85B9E-972D-4BBC-8236-A522E692FA68}"/>
                  </a:ext>
                </a:extLst>
              </xdr:cNvPr>
              <xdr:cNvSpPr/>
            </xdr:nvSpPr>
            <xdr:spPr>
              <a:xfrm>
                <a:off x="7264400" y="127000"/>
                <a:ext cx="2508250" cy="996950"/>
              </a:xfrm>
              <a:prstGeom prst="roundRect">
                <a:avLst/>
              </a:prstGeom>
              <a:solidFill>
                <a:srgbClr val="ED7D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j-lt"/>
                  </a:rPr>
                  <a:t>Average Uninsured Rate</a:t>
                </a:r>
              </a:p>
              <a:p>
                <a:pPr algn="ctr"/>
                <a:endParaRPr lang="en-US" sz="1200">
                  <a:latin typeface="+mj-lt"/>
                </a:endParaRPr>
              </a:p>
              <a:p>
                <a:pPr algn="ctr"/>
                <a:endParaRPr lang="en-US" sz="1200">
                  <a:latin typeface="+mj-lt"/>
                </a:endParaRPr>
              </a:p>
              <a:p>
                <a:pPr algn="ctr"/>
                <a:endParaRPr lang="en-US" sz="800">
                  <a:latin typeface="+mj-lt"/>
                </a:endParaRPr>
              </a:p>
              <a:p>
                <a:pPr algn="ctr"/>
                <a:r>
                  <a:rPr lang="en-US" sz="800">
                    <a:solidFill>
                      <a:schemeClr val="bg1"/>
                    </a:solidFill>
                    <a:latin typeface="+mj-lt"/>
                    <a:ea typeface="Sans Serif Collection" panose="020B0502040504020204" pitchFamily="34" charset="0"/>
                    <a:cs typeface="Sans Serif Collection" panose="020B0502040504020204" pitchFamily="34" charset="0"/>
                  </a:rPr>
                  <a:t>Across</a:t>
                </a:r>
                <a:r>
                  <a:rPr lang="en-US" sz="800" baseline="0">
                    <a:solidFill>
                      <a:schemeClr val="bg1"/>
                    </a:solidFill>
                    <a:latin typeface="+mj-lt"/>
                    <a:ea typeface="Sans Serif Collection" panose="020B0502040504020204" pitchFamily="34" charset="0"/>
                    <a:cs typeface="Sans Serif Collection" panose="020B0502040504020204" pitchFamily="34" charset="0"/>
                  </a:rPr>
                  <a:t> all age groups</a:t>
                </a:r>
                <a:endParaRPr lang="en-US" sz="800">
                  <a:solidFill>
                    <a:schemeClr val="bg1"/>
                  </a:solidFill>
                  <a:latin typeface="+mj-lt"/>
                  <a:ea typeface="Sans Serif Collection" panose="020B0502040504020204" pitchFamily="34" charset="0"/>
                  <a:cs typeface="Sans Serif Collection" panose="020B0502040504020204" pitchFamily="34" charset="0"/>
                </a:endParaRPr>
              </a:p>
            </xdr:txBody>
          </xdr:sp>
          <xdr:sp macro="" textlink="PCU!AO2">
            <xdr:nvSpPr>
              <xdr:cNvPr id="24" name="TextBox 23">
                <a:extLst>
                  <a:ext uri="{FF2B5EF4-FFF2-40B4-BE49-F238E27FC236}">
                    <a16:creationId xmlns:a16="http://schemas.microsoft.com/office/drawing/2014/main" id="{B9945C82-C7E5-40E2-BFBB-9633F26A9C7B}"/>
                  </a:ext>
                </a:extLst>
              </xdr:cNvPr>
              <xdr:cNvSpPr txBox="1"/>
            </xdr:nvSpPr>
            <xdr:spPr>
              <a:xfrm>
                <a:off x="8229600" y="429695"/>
                <a:ext cx="755650" cy="378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B7ACD4B-96EA-4A6E-88FF-11A7F5C9C6B8}" type="TxLink">
                  <a:rPr lang="en-US" sz="2400" b="0" i="0" u="none" strike="noStrike">
                    <a:solidFill>
                      <a:schemeClr val="bg1"/>
                    </a:solidFill>
                    <a:latin typeface="Calibri"/>
                    <a:ea typeface="Calibri"/>
                    <a:cs typeface="Calibri"/>
                  </a:rPr>
                  <a:pPr algn="ctr"/>
                  <a:t>55%</a:t>
                </a:fld>
                <a:endParaRPr lang="en-US" sz="2400">
                  <a:solidFill>
                    <a:schemeClr val="bg1"/>
                  </a:solidFill>
                </a:endParaRPr>
              </a:p>
            </xdr:txBody>
          </xdr:sp>
        </xdr:grpSp>
        <xdr:grpSp>
          <xdr:nvGrpSpPr>
            <xdr:cNvPr id="27" name="Group 26">
              <a:extLst>
                <a:ext uri="{FF2B5EF4-FFF2-40B4-BE49-F238E27FC236}">
                  <a16:creationId xmlns:a16="http://schemas.microsoft.com/office/drawing/2014/main" id="{624914EC-1751-4A2D-8C81-6EC500AF6869}"/>
                </a:ext>
              </a:extLst>
            </xdr:cNvPr>
            <xdr:cNvGrpSpPr/>
          </xdr:nvGrpSpPr>
          <xdr:grpSpPr>
            <a:xfrm>
              <a:off x="9074246" y="1545973"/>
              <a:ext cx="2527914" cy="1000589"/>
              <a:chOff x="9829800" y="120650"/>
              <a:chExt cx="2508250" cy="996950"/>
            </a:xfrm>
          </xdr:grpSpPr>
          <xdr:sp macro="" textlink="">
            <xdr:nvSpPr>
              <xdr:cNvPr id="25" name="Rectangle: Rounded Corners 24">
                <a:extLst>
                  <a:ext uri="{FF2B5EF4-FFF2-40B4-BE49-F238E27FC236}">
                    <a16:creationId xmlns:a16="http://schemas.microsoft.com/office/drawing/2014/main" id="{52D6A57B-0E6E-40BE-93AE-6A938A6A895E}"/>
                  </a:ext>
                </a:extLst>
              </xdr:cNvPr>
              <xdr:cNvSpPr/>
            </xdr:nvSpPr>
            <xdr:spPr>
              <a:xfrm>
                <a:off x="9829800" y="120650"/>
                <a:ext cx="2508250" cy="996950"/>
              </a:xfrm>
              <a:prstGeom prst="roundRect">
                <a:avLst/>
              </a:prstGeom>
              <a:solidFill>
                <a:srgbClr val="70AD4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j-lt"/>
                  </a:rPr>
                  <a:t>Average Coverage Rate</a:t>
                </a:r>
              </a:p>
              <a:p>
                <a:pPr algn="ctr"/>
                <a:endParaRPr lang="en-US" sz="1200">
                  <a:latin typeface="+mj-lt"/>
                </a:endParaRPr>
              </a:p>
              <a:p>
                <a:pPr algn="ctr"/>
                <a:endParaRPr lang="en-US" sz="1200">
                  <a:latin typeface="+mj-lt"/>
                </a:endParaRPr>
              </a:p>
              <a:p>
                <a:pPr algn="ctr"/>
                <a:endParaRPr lang="en-US" sz="800">
                  <a:latin typeface="+mj-lt"/>
                </a:endParaRPr>
              </a:p>
              <a:p>
                <a:pPr algn="ctr"/>
                <a:r>
                  <a:rPr lang="en-US" sz="800">
                    <a:solidFill>
                      <a:schemeClr val="bg1"/>
                    </a:solidFill>
                    <a:latin typeface="+mj-lt"/>
                    <a:ea typeface="Sans Serif Collection" panose="020B0502040504020204" pitchFamily="34" charset="0"/>
                    <a:cs typeface="Sans Serif Collection" panose="020B0502040504020204" pitchFamily="34" charset="0"/>
                  </a:rPr>
                  <a:t>Across</a:t>
                </a:r>
                <a:r>
                  <a:rPr lang="en-US" sz="800" baseline="0">
                    <a:solidFill>
                      <a:schemeClr val="bg1"/>
                    </a:solidFill>
                    <a:latin typeface="+mj-lt"/>
                    <a:ea typeface="Sans Serif Collection" panose="020B0502040504020204" pitchFamily="34" charset="0"/>
                    <a:cs typeface="Sans Serif Collection" panose="020B0502040504020204" pitchFamily="34" charset="0"/>
                  </a:rPr>
                  <a:t> all age groups</a:t>
                </a:r>
                <a:endParaRPr lang="en-US" sz="800">
                  <a:solidFill>
                    <a:schemeClr val="bg1"/>
                  </a:solidFill>
                  <a:latin typeface="+mj-lt"/>
                  <a:ea typeface="Sans Serif Collection" panose="020B0502040504020204" pitchFamily="34" charset="0"/>
                  <a:cs typeface="Sans Serif Collection" panose="020B0502040504020204" pitchFamily="34" charset="0"/>
                </a:endParaRPr>
              </a:p>
            </xdr:txBody>
          </xdr:sp>
          <xdr:sp macro="" textlink="PCU!AM2">
            <xdr:nvSpPr>
              <xdr:cNvPr id="4" name="TextBox 3">
                <a:extLst>
                  <a:ext uri="{FF2B5EF4-FFF2-40B4-BE49-F238E27FC236}">
                    <a16:creationId xmlns:a16="http://schemas.microsoft.com/office/drawing/2014/main" id="{F9591711-9657-4BEA-BEB0-06EEA47B95B7}"/>
                  </a:ext>
                </a:extLst>
              </xdr:cNvPr>
              <xdr:cNvSpPr txBox="1"/>
            </xdr:nvSpPr>
            <xdr:spPr>
              <a:xfrm>
                <a:off x="10769600" y="412215"/>
                <a:ext cx="736600" cy="413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1135C34-EFC9-442B-B660-5F46468F0A72}" type="TxLink">
                  <a:rPr lang="en-US" sz="2400" b="0" i="0" u="none" strike="noStrike">
                    <a:solidFill>
                      <a:schemeClr val="bg1"/>
                    </a:solidFill>
                    <a:latin typeface="Calibri"/>
                    <a:ea typeface="Calibri"/>
                    <a:cs typeface="Calibri"/>
                  </a:rPr>
                  <a:pPr algn="ctr"/>
                  <a:t>89%</a:t>
                </a:fld>
                <a:endParaRPr lang="en-US" sz="2400">
                  <a:solidFill>
                    <a:schemeClr val="bg1"/>
                  </a:solidFill>
                </a:endParaRPr>
              </a:p>
            </xdr:txBody>
          </xdr:sp>
        </xdr:grpSp>
        <xdr:grpSp>
          <xdr:nvGrpSpPr>
            <xdr:cNvPr id="22" name="Group 21">
              <a:extLst>
                <a:ext uri="{FF2B5EF4-FFF2-40B4-BE49-F238E27FC236}">
                  <a16:creationId xmlns:a16="http://schemas.microsoft.com/office/drawing/2014/main" id="{2CE47DF0-4918-4587-BF0F-EBF86EC84C9B}"/>
                </a:ext>
              </a:extLst>
            </xdr:cNvPr>
            <xdr:cNvGrpSpPr/>
          </xdr:nvGrpSpPr>
          <xdr:grpSpPr>
            <a:xfrm>
              <a:off x="11721625" y="1545973"/>
              <a:ext cx="2527916" cy="1000589"/>
              <a:chOff x="4667250" y="146050"/>
              <a:chExt cx="2508250" cy="996950"/>
            </a:xfrm>
          </xdr:grpSpPr>
          <xdr:sp macro="" textlink="">
            <xdr:nvSpPr>
              <xdr:cNvPr id="18" name="Rectangle: Rounded Corners 17">
                <a:extLst>
                  <a:ext uri="{FF2B5EF4-FFF2-40B4-BE49-F238E27FC236}">
                    <a16:creationId xmlns:a16="http://schemas.microsoft.com/office/drawing/2014/main" id="{1BD592B8-AEF2-4A00-97DC-D3A9EE53F587}"/>
                  </a:ext>
                </a:extLst>
              </xdr:cNvPr>
              <xdr:cNvSpPr/>
            </xdr:nvSpPr>
            <xdr:spPr>
              <a:xfrm>
                <a:off x="4667250" y="146050"/>
                <a:ext cx="2508250" cy="99695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j-lt"/>
                  </a:rPr>
                  <a:t>Average Insurance Penetration Rate</a:t>
                </a:r>
              </a:p>
              <a:p>
                <a:pPr algn="ctr"/>
                <a:endParaRPr lang="en-US" sz="1200" b="1">
                  <a:latin typeface="+mj-lt"/>
                </a:endParaRPr>
              </a:p>
              <a:p>
                <a:pPr algn="ctr"/>
                <a:endParaRPr lang="en-US" sz="1200">
                  <a:latin typeface="+mj-lt"/>
                </a:endParaRPr>
              </a:p>
              <a:p>
                <a:pPr algn="ctr"/>
                <a:endParaRPr lang="en-US" sz="800">
                  <a:latin typeface="+mj-lt"/>
                </a:endParaRPr>
              </a:p>
              <a:p>
                <a:pPr algn="ctr"/>
                <a:r>
                  <a:rPr lang="en-US" sz="800">
                    <a:solidFill>
                      <a:schemeClr val="bg1"/>
                    </a:solidFill>
                    <a:latin typeface="+mj-lt"/>
                    <a:ea typeface="Sans Serif Collection" panose="020B0502040504020204" pitchFamily="34" charset="0"/>
                    <a:cs typeface="Sans Serif Collection" panose="020B0502040504020204" pitchFamily="34" charset="0"/>
                  </a:rPr>
                  <a:t>Across</a:t>
                </a:r>
                <a:r>
                  <a:rPr lang="en-US" sz="800" baseline="0">
                    <a:solidFill>
                      <a:schemeClr val="bg1"/>
                    </a:solidFill>
                    <a:latin typeface="+mj-lt"/>
                    <a:ea typeface="Sans Serif Collection" panose="020B0502040504020204" pitchFamily="34" charset="0"/>
                    <a:cs typeface="Sans Serif Collection" panose="020B0502040504020204" pitchFamily="34" charset="0"/>
                  </a:rPr>
                  <a:t> all age groups</a:t>
                </a:r>
                <a:endParaRPr lang="en-US" sz="800">
                  <a:solidFill>
                    <a:schemeClr val="bg1"/>
                  </a:solidFill>
                  <a:latin typeface="+mj-lt"/>
                  <a:ea typeface="Sans Serif Collection" panose="020B0502040504020204" pitchFamily="34" charset="0"/>
                  <a:cs typeface="Sans Serif Collection" panose="020B0502040504020204" pitchFamily="34" charset="0"/>
                </a:endParaRPr>
              </a:p>
            </xdr:txBody>
          </xdr:sp>
          <xdr:sp macro="" textlink="PCU!AN2">
            <xdr:nvSpPr>
              <xdr:cNvPr id="21" name="TextBox 20">
                <a:extLst>
                  <a:ext uri="{FF2B5EF4-FFF2-40B4-BE49-F238E27FC236}">
                    <a16:creationId xmlns:a16="http://schemas.microsoft.com/office/drawing/2014/main" id="{AD1F3D02-774E-4532-AA71-F8EBA480C3E8}"/>
                  </a:ext>
                </a:extLst>
              </xdr:cNvPr>
              <xdr:cNvSpPr txBox="1"/>
            </xdr:nvSpPr>
            <xdr:spPr>
              <a:xfrm>
                <a:off x="5543550" y="438150"/>
                <a:ext cx="774700" cy="361950"/>
              </a:xfrm>
              <a:prstGeom prst="rect">
                <a:avLst/>
              </a:prstGeom>
              <a:solidFill>
                <a:srgbClr val="0070C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C5B4C3C-9BE1-4E0B-B7A3-CAB3813C78D6}" type="TxLink">
                  <a:rPr lang="en-US" sz="2400" b="0" i="0" u="none" strike="noStrike">
                    <a:solidFill>
                      <a:schemeClr val="bg1"/>
                    </a:solidFill>
                    <a:latin typeface="Calibri"/>
                    <a:ea typeface="Calibri"/>
                    <a:cs typeface="Calibri"/>
                  </a:rPr>
                  <a:pPr algn="ctr"/>
                  <a:t>45%</a:t>
                </a:fld>
                <a:endParaRPr lang="en-US" sz="2400">
                  <a:solidFill>
                    <a:schemeClr val="bg1"/>
                  </a:solidFill>
                </a:endParaRPr>
              </a:p>
            </xdr:txBody>
          </xdr:sp>
        </xdr:grpSp>
        <xdr:grpSp>
          <xdr:nvGrpSpPr>
            <xdr:cNvPr id="6" name="Group 5">
              <a:extLst>
                <a:ext uri="{FF2B5EF4-FFF2-40B4-BE49-F238E27FC236}">
                  <a16:creationId xmlns:a16="http://schemas.microsoft.com/office/drawing/2014/main" id="{E8F3B8A9-FD39-0D97-8BAF-A8CF4EB63E7A}"/>
                </a:ext>
              </a:extLst>
            </xdr:cNvPr>
            <xdr:cNvGrpSpPr/>
          </xdr:nvGrpSpPr>
          <xdr:grpSpPr>
            <a:xfrm>
              <a:off x="6093804" y="1477328"/>
              <a:ext cx="2628081" cy="1137879"/>
              <a:chOff x="1651000" y="184150"/>
              <a:chExt cx="2603500" cy="1136650"/>
            </a:xfrm>
          </xdr:grpSpPr>
          <xdr:sp macro="" textlink="">
            <xdr:nvSpPr>
              <xdr:cNvPr id="3" name="Rectangle: Rounded Corners 2">
                <a:extLst>
                  <a:ext uri="{FF2B5EF4-FFF2-40B4-BE49-F238E27FC236}">
                    <a16:creationId xmlns:a16="http://schemas.microsoft.com/office/drawing/2014/main" id="{452B56D5-AFEF-4555-BE35-414ED95C5A3D}"/>
                  </a:ext>
                </a:extLst>
              </xdr:cNvPr>
              <xdr:cNvSpPr/>
            </xdr:nvSpPr>
            <xdr:spPr>
              <a:xfrm>
                <a:off x="2171700" y="184150"/>
                <a:ext cx="1511300" cy="323850"/>
              </a:xfrm>
              <a:prstGeom prst="roundRect">
                <a:avLst/>
              </a:prstGeom>
              <a:solidFill>
                <a:srgbClr val="5E35B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mj-lt"/>
                  </a:rPr>
                  <a:t>Neighborhood</a:t>
                </a:r>
              </a:p>
              <a:p>
                <a:pPr algn="l"/>
                <a:endParaRPr lang="en-US" sz="1200">
                  <a:latin typeface="+mj-lt"/>
                </a:endParaRPr>
              </a:p>
            </xdr:txBody>
          </xdr:sp>
          <xdr:sp macro="" textlink="">
            <xdr:nvSpPr>
              <xdr:cNvPr id="28" name="Oval 27">
                <a:extLst>
                  <a:ext uri="{FF2B5EF4-FFF2-40B4-BE49-F238E27FC236}">
                    <a16:creationId xmlns:a16="http://schemas.microsoft.com/office/drawing/2014/main" id="{55F9952D-A3E3-47BB-8C4E-8A01E68B3232}"/>
                  </a:ext>
                </a:extLst>
              </xdr:cNvPr>
              <xdr:cNvSpPr/>
            </xdr:nvSpPr>
            <xdr:spPr>
              <a:xfrm>
                <a:off x="1651000" y="495300"/>
                <a:ext cx="1301750" cy="819150"/>
              </a:xfrm>
              <a:prstGeom prst="ellipse">
                <a:avLst/>
              </a:prstGeom>
              <a:solidFill>
                <a:srgbClr val="5E35B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a:t>
                </a:r>
                <a:r>
                  <a:rPr lang="en-US" sz="1100" b="1"/>
                  <a:t>Count:</a:t>
                </a:r>
              </a:p>
              <a:p>
                <a:pPr algn="ctr"/>
                <a:endParaRPr lang="en-US" sz="1100"/>
              </a:p>
            </xdr:txBody>
          </xdr:sp>
          <xdr:sp macro="" textlink="">
            <xdr:nvSpPr>
              <xdr:cNvPr id="31" name="Oval 30">
                <a:extLst>
                  <a:ext uri="{FF2B5EF4-FFF2-40B4-BE49-F238E27FC236}">
                    <a16:creationId xmlns:a16="http://schemas.microsoft.com/office/drawing/2014/main" id="{A57B3743-7AA0-4F40-BE6C-5D7EEFE22403}"/>
                  </a:ext>
                </a:extLst>
              </xdr:cNvPr>
              <xdr:cNvSpPr/>
            </xdr:nvSpPr>
            <xdr:spPr>
              <a:xfrm>
                <a:off x="2952750" y="501650"/>
                <a:ext cx="1301750" cy="819150"/>
              </a:xfrm>
              <a:prstGeom prst="ellipse">
                <a:avLst/>
              </a:prstGeom>
              <a:solidFill>
                <a:srgbClr val="5E35B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Pop. </a:t>
                </a:r>
                <a:r>
                  <a:rPr lang="en-US" sz="1100" b="1"/>
                  <a:t>:</a:t>
                </a:r>
              </a:p>
              <a:p>
                <a:pPr algn="ctr"/>
                <a:endParaRPr lang="en-US" sz="1100"/>
              </a:p>
            </xdr:txBody>
          </xdr:sp>
          <xdr:sp macro="" textlink="PCU!BA2">
            <xdr:nvSpPr>
              <xdr:cNvPr id="32" name="TextBox 31">
                <a:extLst>
                  <a:ext uri="{FF2B5EF4-FFF2-40B4-BE49-F238E27FC236}">
                    <a16:creationId xmlns:a16="http://schemas.microsoft.com/office/drawing/2014/main" id="{26520B86-2286-42DF-A9AD-ECD50F63E82F}"/>
                  </a:ext>
                </a:extLst>
              </xdr:cNvPr>
              <xdr:cNvSpPr txBox="1"/>
            </xdr:nvSpPr>
            <xdr:spPr>
              <a:xfrm>
                <a:off x="2027933" y="823100"/>
                <a:ext cx="482600" cy="449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32E252B-A16B-4636-9F79-6D0D6175B239}" type="TxLink">
                  <a:rPr lang="en-US" sz="2300" b="1" i="0" u="none" strike="noStrike">
                    <a:solidFill>
                      <a:schemeClr val="bg1"/>
                    </a:solidFill>
                    <a:latin typeface="Calibri"/>
                    <a:ea typeface="Calibri"/>
                    <a:cs typeface="Calibri"/>
                  </a:rPr>
                  <a:pPr algn="ctr"/>
                  <a:t>91</a:t>
                </a:fld>
                <a:endParaRPr lang="en-US" sz="2300" b="1">
                  <a:solidFill>
                    <a:schemeClr val="bg1"/>
                  </a:solidFill>
                </a:endParaRPr>
              </a:p>
            </xdr:txBody>
          </xdr:sp>
          <xdr:sp macro="" textlink="PCU!BA3">
            <xdr:nvSpPr>
              <xdr:cNvPr id="5" name="TextBox 4">
                <a:extLst>
                  <a:ext uri="{FF2B5EF4-FFF2-40B4-BE49-F238E27FC236}">
                    <a16:creationId xmlns:a16="http://schemas.microsoft.com/office/drawing/2014/main" id="{FF90962E-4452-07C0-7010-2B449C5247F0}"/>
                  </a:ext>
                </a:extLst>
              </xdr:cNvPr>
              <xdr:cNvSpPr txBox="1"/>
            </xdr:nvSpPr>
            <xdr:spPr>
              <a:xfrm>
                <a:off x="2905225" y="827815"/>
                <a:ext cx="1322866" cy="439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6B67617-9FA6-4CE3-B410-BC03D464471D}" type="TxLink">
                  <a:rPr lang="en-US" sz="2200" b="1" i="0" u="none" strike="noStrike">
                    <a:solidFill>
                      <a:schemeClr val="bg1"/>
                    </a:solidFill>
                    <a:latin typeface="Calibri"/>
                    <a:ea typeface="Calibri"/>
                    <a:cs typeface="Calibri"/>
                  </a:rPr>
                  <a:pPr algn="ctr"/>
                  <a:t> 301,966 </a:t>
                </a:fld>
                <a:endParaRPr lang="en-US" sz="2200" b="1">
                  <a:solidFill>
                    <a:schemeClr val="bg1"/>
                  </a:solidFill>
                </a:endParaRPr>
              </a:p>
            </xdr:txBody>
          </xdr:sp>
        </xdr:grpSp>
        <xdr:cxnSp macro="">
          <xdr:nvCxnSpPr>
            <xdr:cNvPr id="37" name="Straight Connector 36">
              <a:extLst>
                <a:ext uri="{FF2B5EF4-FFF2-40B4-BE49-F238E27FC236}">
                  <a16:creationId xmlns:a16="http://schemas.microsoft.com/office/drawing/2014/main" id="{3BE9749D-8BE8-0B82-4720-EADD6C1FFD52}"/>
                </a:ext>
              </a:extLst>
            </xdr:cNvPr>
            <xdr:cNvCxnSpPr/>
          </xdr:nvCxnSpPr>
          <xdr:spPr>
            <a:xfrm flipV="1">
              <a:off x="6483146" y="2857500"/>
              <a:ext cx="9975645" cy="10242"/>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grpSp>
      <xdr:grpSp>
        <xdr:nvGrpSpPr>
          <xdr:cNvPr id="42" name="Group 41">
            <a:extLst>
              <a:ext uri="{FF2B5EF4-FFF2-40B4-BE49-F238E27FC236}">
                <a16:creationId xmlns:a16="http://schemas.microsoft.com/office/drawing/2014/main" id="{AC200A29-02DE-6950-CC8F-BCB4849752E9}"/>
              </a:ext>
            </a:extLst>
          </xdr:cNvPr>
          <xdr:cNvGrpSpPr/>
        </xdr:nvGrpSpPr>
        <xdr:grpSpPr>
          <a:xfrm>
            <a:off x="8170542" y="4063597"/>
            <a:ext cx="10741706" cy="4724028"/>
            <a:chOff x="6096629" y="3022601"/>
            <a:chExt cx="10675838" cy="4685482"/>
          </a:xfrm>
        </xdr:grpSpPr>
        <xdr:grpSp>
          <xdr:nvGrpSpPr>
            <xdr:cNvPr id="40" name="Group 39">
              <a:extLst>
                <a:ext uri="{FF2B5EF4-FFF2-40B4-BE49-F238E27FC236}">
                  <a16:creationId xmlns:a16="http://schemas.microsoft.com/office/drawing/2014/main" id="{7F5B1FD6-39EE-197E-95A0-0BD4E4552BED}"/>
                </a:ext>
              </a:extLst>
            </xdr:cNvPr>
            <xdr:cNvGrpSpPr/>
          </xdr:nvGrpSpPr>
          <xdr:grpSpPr>
            <a:xfrm>
              <a:off x="6096629" y="3022601"/>
              <a:ext cx="10565771" cy="4685482"/>
              <a:chOff x="6145789" y="3223901"/>
              <a:chExt cx="10304313" cy="4360853"/>
            </a:xfrm>
          </xdr:grpSpPr>
          <xdr:grpSp>
            <xdr:nvGrpSpPr>
              <xdr:cNvPr id="17" name="Group 16">
                <a:extLst>
                  <a:ext uri="{FF2B5EF4-FFF2-40B4-BE49-F238E27FC236}">
                    <a16:creationId xmlns:a16="http://schemas.microsoft.com/office/drawing/2014/main" id="{40CE30AC-39BB-6218-709F-C4EF93D192DE}"/>
                  </a:ext>
                </a:extLst>
              </xdr:cNvPr>
              <xdr:cNvGrpSpPr/>
            </xdr:nvGrpSpPr>
            <xdr:grpSpPr>
              <a:xfrm>
                <a:off x="6145789" y="3223901"/>
                <a:ext cx="3580899" cy="2070894"/>
                <a:chOff x="6050465" y="3174155"/>
                <a:chExt cx="3532128" cy="2038705"/>
              </a:xfrm>
            </xdr:grpSpPr>
            <xdr:graphicFrame macro="">
              <xdr:nvGraphicFramePr>
                <xdr:cNvPr id="8" name="Chart 7">
                  <a:extLst>
                    <a:ext uri="{FF2B5EF4-FFF2-40B4-BE49-F238E27FC236}">
                      <a16:creationId xmlns:a16="http://schemas.microsoft.com/office/drawing/2014/main" id="{8627C788-4DC8-496C-90DA-5DFF4F4AF003}"/>
                    </a:ext>
                  </a:extLst>
                </xdr:cNvPr>
                <xdr:cNvGraphicFramePr>
                  <a:graphicFrameLocks/>
                </xdr:cNvGraphicFramePr>
              </xdr:nvGraphicFramePr>
              <xdr:xfrm>
                <a:off x="6050465" y="3703269"/>
                <a:ext cx="3330121" cy="150959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9" name="TextBox 8">
                  <a:extLst>
                    <a:ext uri="{FF2B5EF4-FFF2-40B4-BE49-F238E27FC236}">
                      <a16:creationId xmlns:a16="http://schemas.microsoft.com/office/drawing/2014/main" id="{C6E319E8-B67E-A79B-AD48-E16DDF7998A5}"/>
                    </a:ext>
                  </a:extLst>
                </xdr:cNvPr>
                <xdr:cNvSpPr txBox="1"/>
              </xdr:nvSpPr>
              <xdr:spPr>
                <a:xfrm>
                  <a:off x="6172643" y="3174155"/>
                  <a:ext cx="34099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rgbClr val="2E5292"/>
                      </a:solidFill>
                    </a:rPr>
                    <a:t>Insurance Penetration Vs. Uninsured Rate by Age Group</a:t>
                  </a:r>
                </a:p>
              </xdr:txBody>
            </xdr:sp>
            <xdr:cxnSp macro="">
              <xdr:nvCxnSpPr>
                <xdr:cNvPr id="14" name="Straight Connector 13">
                  <a:extLst>
                    <a:ext uri="{FF2B5EF4-FFF2-40B4-BE49-F238E27FC236}">
                      <a16:creationId xmlns:a16="http://schemas.microsoft.com/office/drawing/2014/main" id="{3AAF2A30-3E5B-5967-60CC-7E5B90205567}"/>
                    </a:ext>
                  </a:extLst>
                </xdr:cNvPr>
                <xdr:cNvCxnSpPr/>
              </xdr:nvCxnSpPr>
              <xdr:spPr>
                <a:xfrm>
                  <a:off x="6457297" y="3500508"/>
                  <a:ext cx="2449773"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grpSp>
          <xdr:grpSp>
            <xdr:nvGrpSpPr>
              <xdr:cNvPr id="20" name="Group 19">
                <a:extLst>
                  <a:ext uri="{FF2B5EF4-FFF2-40B4-BE49-F238E27FC236}">
                    <a16:creationId xmlns:a16="http://schemas.microsoft.com/office/drawing/2014/main" id="{E1660864-90A1-6966-5312-EEB29DC24731}"/>
                  </a:ext>
                </a:extLst>
              </xdr:cNvPr>
              <xdr:cNvGrpSpPr/>
            </xdr:nvGrpSpPr>
            <xdr:grpSpPr>
              <a:xfrm>
                <a:off x="10551610" y="3236129"/>
                <a:ext cx="5898492" cy="2055491"/>
                <a:chOff x="10385789" y="3186383"/>
                <a:chExt cx="5812179" cy="2023302"/>
              </a:xfrm>
            </xdr:grpSpPr>
            <xdr:graphicFrame macro="">
              <xdr:nvGraphicFramePr>
                <xdr:cNvPr id="7" name="Chart 6">
                  <a:extLst>
                    <a:ext uri="{FF2B5EF4-FFF2-40B4-BE49-F238E27FC236}">
                      <a16:creationId xmlns:a16="http://schemas.microsoft.com/office/drawing/2014/main" id="{ED09A972-9CF6-45E2-B887-374F154F230C}"/>
                    </a:ext>
                  </a:extLst>
                </xdr:cNvPr>
                <xdr:cNvGraphicFramePr>
                  <a:graphicFrameLocks/>
                </xdr:cNvGraphicFramePr>
              </xdr:nvGraphicFramePr>
              <xdr:xfrm>
                <a:off x="10385789" y="3706444"/>
                <a:ext cx="3284161" cy="1503241"/>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1" name="TextBox 10">
                  <a:extLst>
                    <a:ext uri="{FF2B5EF4-FFF2-40B4-BE49-F238E27FC236}">
                      <a16:creationId xmlns:a16="http://schemas.microsoft.com/office/drawing/2014/main" id="{F7D65496-E087-0490-3E0F-658375F30131}"/>
                    </a:ext>
                  </a:extLst>
                </xdr:cNvPr>
                <xdr:cNvSpPr txBox="1"/>
              </xdr:nvSpPr>
              <xdr:spPr>
                <a:xfrm>
                  <a:off x="11118250" y="3186383"/>
                  <a:ext cx="181610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rgbClr val="2E5292"/>
                      </a:solidFill>
                    </a:rPr>
                    <a:t>Coverage Rate by Age Group</a:t>
                  </a:r>
                </a:p>
              </xdr:txBody>
            </xdr:sp>
            <xdr:cxnSp macro="">
              <xdr:nvCxnSpPr>
                <xdr:cNvPr id="29" name="Straight Connector 28">
                  <a:extLst>
                    <a:ext uri="{FF2B5EF4-FFF2-40B4-BE49-F238E27FC236}">
                      <a16:creationId xmlns:a16="http://schemas.microsoft.com/office/drawing/2014/main" id="{A6649E8A-B9F9-3B95-FF4E-99690D53D5F4}"/>
                    </a:ext>
                  </a:extLst>
                </xdr:cNvPr>
                <xdr:cNvCxnSpPr/>
              </xdr:nvCxnSpPr>
              <xdr:spPr>
                <a:xfrm>
                  <a:off x="10781578" y="3500661"/>
                  <a:ext cx="2449773"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D847FEB0-582F-BBB5-7C6B-246B71E8F3C4}"/>
                    </a:ext>
                  </a:extLst>
                </xdr:cNvPr>
                <xdr:cNvSpPr txBox="1"/>
              </xdr:nvSpPr>
              <xdr:spPr>
                <a:xfrm>
                  <a:off x="14381868" y="3201278"/>
                  <a:ext cx="1816100" cy="230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rgbClr val="2E5292"/>
                      </a:solidFill>
                    </a:rPr>
                    <a:t>Neighborhood</a:t>
                  </a:r>
                  <a:r>
                    <a:rPr lang="en-US" sz="1000" b="1" baseline="0">
                      <a:solidFill>
                        <a:srgbClr val="2E5292"/>
                      </a:solidFill>
                    </a:rPr>
                    <a:t> Overview</a:t>
                  </a:r>
                  <a:endParaRPr lang="en-US" sz="1000" b="1">
                    <a:solidFill>
                      <a:srgbClr val="2E5292"/>
                    </a:solidFill>
                  </a:endParaRPr>
                </a:p>
              </xdr:txBody>
            </xdr:sp>
            <xdr:cxnSp macro="">
              <xdr:nvCxnSpPr>
                <xdr:cNvPr id="41" name="Straight Connector 40">
                  <a:extLst>
                    <a:ext uri="{FF2B5EF4-FFF2-40B4-BE49-F238E27FC236}">
                      <a16:creationId xmlns:a16="http://schemas.microsoft.com/office/drawing/2014/main" id="{2946ABAB-F1F4-2982-6331-BD898AC3FF09}"/>
                    </a:ext>
                  </a:extLst>
                </xdr:cNvPr>
                <xdr:cNvCxnSpPr/>
              </xdr:nvCxnSpPr>
              <xdr:spPr>
                <a:xfrm flipV="1">
                  <a:off x="14387352" y="3500661"/>
                  <a:ext cx="1500691" cy="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grpSp>
          <xdr:grpSp>
            <xdr:nvGrpSpPr>
              <xdr:cNvPr id="35" name="Group 34">
                <a:extLst>
                  <a:ext uri="{FF2B5EF4-FFF2-40B4-BE49-F238E27FC236}">
                    <a16:creationId xmlns:a16="http://schemas.microsoft.com/office/drawing/2014/main" id="{2B7395B7-172A-FDDB-7E01-FABC18160609}"/>
                  </a:ext>
                </a:extLst>
              </xdr:cNvPr>
              <xdr:cNvGrpSpPr/>
            </xdr:nvGrpSpPr>
            <xdr:grpSpPr>
              <a:xfrm>
                <a:off x="6145789" y="5488190"/>
                <a:ext cx="3384228" cy="2096564"/>
                <a:chOff x="6046030" y="5403329"/>
                <a:chExt cx="3335457" cy="2061448"/>
              </a:xfrm>
            </xdr:grpSpPr>
            <xdr:graphicFrame macro="">
              <xdr:nvGraphicFramePr>
                <xdr:cNvPr id="12" name="Chart 11">
                  <a:extLst>
                    <a:ext uri="{FF2B5EF4-FFF2-40B4-BE49-F238E27FC236}">
                      <a16:creationId xmlns:a16="http://schemas.microsoft.com/office/drawing/2014/main" id="{A0F8634C-4F75-486E-B1D6-9F92B18D5264}"/>
                    </a:ext>
                  </a:extLst>
                </xdr:cNvPr>
                <xdr:cNvGraphicFramePr>
                  <a:graphicFrameLocks/>
                </xdr:cNvGraphicFramePr>
              </xdr:nvGraphicFramePr>
              <xdr:xfrm>
                <a:off x="6046030" y="5882720"/>
                <a:ext cx="3335457" cy="158205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A061F5C1-6395-0790-EEA0-D64BB334779D}"/>
                    </a:ext>
                  </a:extLst>
                </xdr:cNvPr>
                <xdr:cNvSpPr txBox="1"/>
              </xdr:nvSpPr>
              <xdr:spPr>
                <a:xfrm>
                  <a:off x="6700608" y="5403329"/>
                  <a:ext cx="23812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rgbClr val="2E5292"/>
                      </a:solidFill>
                    </a:rPr>
                    <a:t>Penetration Rate Vs.</a:t>
                  </a:r>
                  <a:r>
                    <a:rPr lang="en-US" sz="1000" b="1" baseline="0">
                      <a:solidFill>
                        <a:srgbClr val="2E5292"/>
                      </a:solidFill>
                    </a:rPr>
                    <a:t> Coverage Rate</a:t>
                  </a:r>
                  <a:endParaRPr lang="en-US" sz="1000" b="1">
                    <a:solidFill>
                      <a:srgbClr val="2E5292"/>
                    </a:solidFill>
                  </a:endParaRPr>
                </a:p>
              </xdr:txBody>
            </xdr:sp>
            <xdr:cxnSp macro="">
              <xdr:nvCxnSpPr>
                <xdr:cNvPr id="34" name="Straight Connector 33">
                  <a:extLst>
                    <a:ext uri="{FF2B5EF4-FFF2-40B4-BE49-F238E27FC236}">
                      <a16:creationId xmlns:a16="http://schemas.microsoft.com/office/drawing/2014/main" id="{D2335D80-245E-5B15-3C2A-6C27554CBE6E}"/>
                    </a:ext>
                  </a:extLst>
                </xdr:cNvPr>
                <xdr:cNvCxnSpPr/>
              </xdr:nvCxnSpPr>
              <xdr:spPr>
                <a:xfrm>
                  <a:off x="6509137" y="5701045"/>
                  <a:ext cx="2449773"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grpSp>
        </xdr:grpSp>
        <mc:AlternateContent xmlns:mc="http://schemas.openxmlformats.org/markup-compatibility/2006">
          <mc:Choice xmlns:a14="http://schemas.microsoft.com/office/drawing/2010/main" Requires="a14">
            <xdr:graphicFrame macro="">
              <xdr:nvGraphicFramePr>
                <xdr:cNvPr id="36" name="Neighborhood 1">
                  <a:extLst>
                    <a:ext uri="{FF2B5EF4-FFF2-40B4-BE49-F238E27FC236}">
                      <a16:creationId xmlns:a16="http://schemas.microsoft.com/office/drawing/2014/main" id="{A74ED268-5C78-4F23-8261-61A089926FF9}"/>
                    </a:ext>
                  </a:extLst>
                </xdr:cNvPr>
                <xdr:cNvGraphicFramePr/>
              </xdr:nvGraphicFramePr>
              <xdr:xfrm>
                <a:off x="14527191" y="3436471"/>
                <a:ext cx="2245276" cy="2524125"/>
              </xdr:xfrm>
              <a:graphic>
                <a:graphicData uri="http://schemas.microsoft.com/office/drawing/2010/slicer">
                  <sle:slicer xmlns:sle="http://schemas.microsoft.com/office/drawing/2010/slicer" name="Neighborhood 1"/>
                </a:graphicData>
              </a:graphic>
            </xdr:graphicFrame>
          </mc:Choice>
          <mc:Fallback>
            <xdr:sp macro="" textlink="">
              <xdr:nvSpPr>
                <xdr:cNvPr id="0" name=""/>
                <xdr:cNvSpPr>
                  <a:spLocks noTextEdit="1"/>
                </xdr:cNvSpPr>
              </xdr:nvSpPr>
              <xdr:spPr>
                <a:xfrm>
                  <a:off x="16663882" y="3469177"/>
                  <a:ext cx="2259129" cy="2544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3" name="Rectangle: Rounded Corners 12">
            <a:extLst>
              <a:ext uri="{FF2B5EF4-FFF2-40B4-BE49-F238E27FC236}">
                <a16:creationId xmlns:a16="http://schemas.microsoft.com/office/drawing/2014/main" id="{EA923E69-FF57-9D33-A9C0-D93B6AEA8630}"/>
              </a:ext>
            </a:extLst>
          </xdr:cNvPr>
          <xdr:cNvSpPr/>
        </xdr:nvSpPr>
        <xdr:spPr>
          <a:xfrm>
            <a:off x="12328107" y="7197512"/>
            <a:ext cx="6632975" cy="1632918"/>
          </a:xfrm>
          <a:prstGeom prst="roundRect">
            <a:avLst>
              <a:gd name="adj" fmla="val 11042"/>
            </a:avLst>
          </a:prstGeom>
          <a:gradFill flip="none" rotWithShape="1">
            <a:gsLst>
              <a:gs pos="100000">
                <a:srgbClr val="F2F2F2"/>
              </a:gs>
              <a:gs pos="100000">
                <a:srgbClr val="F2F2F2"/>
              </a:gs>
              <a:gs pos="100000">
                <a:srgbClr val="F2F2F2"/>
              </a:gs>
              <a:gs pos="100000">
                <a:srgbClr val="BECEEA"/>
              </a:gs>
              <a:gs pos="100000">
                <a:srgbClr val="BECEEA"/>
              </a:gs>
              <a:gs pos="100000">
                <a:srgbClr val="D1DCF0"/>
              </a:gs>
              <a:gs pos="100000">
                <a:schemeClr val="accent1">
                  <a:lumMod val="45000"/>
                  <a:lumOff val="55000"/>
                </a:schemeClr>
              </a:gs>
              <a:gs pos="100000">
                <a:schemeClr val="accent1">
                  <a:lumMod val="45000"/>
                  <a:lumOff val="55000"/>
                </a:schemeClr>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3660AC"/>
                </a:solidFill>
              </a:rPr>
              <a:t>Insight:</a:t>
            </a:r>
          </a:p>
          <a:p>
            <a:pPr algn="l"/>
            <a:endParaRPr lang="en-US" sz="2000" b="1">
              <a:solidFill>
                <a:srgbClr val="3660AC"/>
              </a:solidFill>
            </a:endParaRPr>
          </a:p>
          <a:p>
            <a:pPr marL="285750" indent="-285750" algn="l">
              <a:buFont typeface="Arial" panose="020B0604020202020204" pitchFamily="34" charset="0"/>
              <a:buChar char="•"/>
            </a:pPr>
            <a:r>
              <a:rPr lang="en-US" sz="1470">
                <a:solidFill>
                  <a:srgbClr val="595959"/>
                </a:solidFill>
              </a:rPr>
              <a:t>The analysis reveals a significant gap between coverage availability (89%) and actual insurance penetration (45%), particularly among Under 18 and 65+ populations, indicating that accessibility alone does not guarantee enrollment.</a:t>
            </a:r>
            <a:endParaRPr lang="en-US" sz="1470" b="1">
              <a:solidFill>
                <a:srgbClr val="595959"/>
              </a:solidFill>
            </a:endParaRPr>
          </a:p>
        </xdr:txBody>
      </xdr:sp>
      <xdr:cxnSp macro="">
        <xdr:nvCxnSpPr>
          <xdr:cNvPr id="16" name="Straight Connector 15">
            <a:extLst>
              <a:ext uri="{FF2B5EF4-FFF2-40B4-BE49-F238E27FC236}">
                <a16:creationId xmlns:a16="http://schemas.microsoft.com/office/drawing/2014/main" id="{30065BB9-BA0A-7E22-9162-D06A6673CF23}"/>
              </a:ext>
            </a:extLst>
          </xdr:cNvPr>
          <xdr:cNvCxnSpPr/>
        </xdr:nvCxnSpPr>
        <xdr:spPr>
          <a:xfrm flipV="1">
            <a:off x="12416030" y="7702286"/>
            <a:ext cx="6466899" cy="9783"/>
          </a:xfrm>
          <a:prstGeom prst="line">
            <a:avLst/>
          </a:prstGeom>
          <a:ln>
            <a:solidFill>
              <a:schemeClr val="accent3"/>
            </a:solidFill>
          </a:ln>
        </xdr:spPr>
        <xdr:style>
          <a:lnRef idx="1">
            <a:schemeClr val="accent1"/>
          </a:lnRef>
          <a:fillRef idx="0">
            <a:schemeClr val="accent1"/>
          </a:fillRef>
          <a:effectRef idx="0">
            <a:schemeClr val="accent1"/>
          </a:effectRef>
          <a:fontRef idx="minor">
            <a:schemeClr val="tx1"/>
          </a:fontRef>
        </xdr:style>
      </xdr:cxnSp>
      <xdr:sp macro="" textlink="">
        <xdr:nvSpPr>
          <xdr:cNvPr id="45" name="TextBox 44">
            <a:extLst>
              <a:ext uri="{FF2B5EF4-FFF2-40B4-BE49-F238E27FC236}">
                <a16:creationId xmlns:a16="http://schemas.microsoft.com/office/drawing/2014/main" id="{3D728645-4611-54C6-7B47-484D39C2B17C}"/>
              </a:ext>
            </a:extLst>
          </xdr:cNvPr>
          <xdr:cNvSpPr txBox="1"/>
        </xdr:nvSpPr>
        <xdr:spPr>
          <a:xfrm>
            <a:off x="8989183" y="1368688"/>
            <a:ext cx="9065349" cy="692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rgbClr val="1F4E79"/>
                </a:solidFill>
              </a:rPr>
              <a:t>Health Insurance Coverage &amp; Penetration Analysis by Age Group</a:t>
            </a:r>
          </a:p>
        </xdr:txBody>
      </xdr:sp>
      <xdr:cxnSp macro="">
        <xdr:nvCxnSpPr>
          <xdr:cNvPr id="47" name="Straight Connector 46">
            <a:extLst>
              <a:ext uri="{FF2B5EF4-FFF2-40B4-BE49-F238E27FC236}">
                <a16:creationId xmlns:a16="http://schemas.microsoft.com/office/drawing/2014/main" id="{04853E23-571B-A4E3-08E2-8ECA23A3FA56}"/>
              </a:ext>
            </a:extLst>
          </xdr:cNvPr>
          <xdr:cNvCxnSpPr/>
        </xdr:nvCxnSpPr>
        <xdr:spPr>
          <a:xfrm>
            <a:off x="8287784" y="2110320"/>
            <a:ext cx="10468146"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3.617303240739" createdVersion="7" refreshedVersion="8" minRefreshableVersion="3" recordCount="91" xr:uid="{CE1148C5-3E37-4348-9736-AECD7DA05A94}">
  <cacheSource type="worksheet">
    <worksheetSource name="Table1"/>
  </cacheSource>
  <cacheFields count="87">
    <cacheField name="Neighborhood" numFmtId="0">
      <sharedItems count="93">
        <s v="Allegheny Center"/>
        <s v="Allegheny West"/>
        <s v="Allentown"/>
        <s v="Arlington"/>
        <s v="Arlington Heights"/>
        <s v="Banksville"/>
        <s v="Bedford Dwellings"/>
        <s v="Beechview"/>
        <s v="Beltzhoover"/>
        <s v="Bloomfield"/>
        <s v="Bluff"/>
        <s v="Bon Air"/>
        <s v="Brighton Heights"/>
        <s v="Brookline"/>
        <s v="California-Kirkbride"/>
        <s v="Carrick"/>
        <s v="Central Business District"/>
        <s v="Central Lawrenceville"/>
        <s v="Central Northside"/>
        <s v="Central Oakland"/>
        <s v="Chartiers City"/>
        <s v="Chateau"/>
        <s v="Crafton Heights"/>
        <s v="Crawford-Roberts"/>
        <s v="Duquesne Heights"/>
        <s v="East Allegheny"/>
        <s v="East Carnegie"/>
        <s v="East Hills"/>
        <s v="East Liberty"/>
        <s v="Elliott"/>
        <s v="Esplen"/>
        <s v="Fairywood"/>
        <s v="Fineview"/>
        <s v="Friendship"/>
        <s v="Garfield"/>
        <s v="Glen Hazel"/>
        <s v="Greenfield"/>
        <s v="Hays"/>
        <s v="Hazelwood"/>
        <s v="Highland Park"/>
        <s v="Homewood North"/>
        <s v="Homewood South"/>
        <s v="Homewood West"/>
        <s v="Knoxville"/>
        <s v="Larimer"/>
        <s v="Lincoln Place"/>
        <s v="Lincoln-Lemington-Belmar"/>
        <s v="Lower Lawrenceville"/>
        <s v="Manchester"/>
        <s v="Marshall-Shadeland"/>
        <s v="Middle Hill"/>
        <s v="Morningside"/>
        <s v="Mount Oliver Borough"/>
        <s v="Mount Washington"/>
        <s v="Mt. Oliver"/>
        <s v="New Homestead"/>
        <s v="North Oakland"/>
        <s v="North Shore"/>
        <s v="Northview Heights"/>
        <s v="Oakwood"/>
        <s v="Overbrook"/>
        <s v="Perry North"/>
        <s v="Perry South"/>
        <s v="Point Breeze"/>
        <s v="Point Breeze North"/>
        <s v="Polish Hill"/>
        <s v="Regent Square"/>
        <s v="Ridgemont"/>
        <s v="Shadyside"/>
        <s v="Sheraden"/>
        <s v="South Oakland"/>
        <s v="South Shore"/>
        <s v="South Side Flats"/>
        <s v="South Side Slopes"/>
        <s v="Spring Garden"/>
        <s v="Spring Hill-City View"/>
        <s v="Squirrel Hill North"/>
        <s v="Squirrel Hill South"/>
        <s v="St. Clair"/>
        <s v="Stanton Heights"/>
        <s v="Strip District"/>
        <s v="Summer Hill"/>
        <s v="Swisshelm Park"/>
        <s v="Terrace Village"/>
        <s v="Troy Hill"/>
        <s v="Upper Hill"/>
        <s v="Upper Lawrenceville"/>
        <s v="West End"/>
        <s v="West Oakland"/>
        <s v="Westwood"/>
        <s v="Windgap"/>
        <s v="Maximum No. of Neighborhood &amp; by Age &amp; insurance" u="1"/>
        <s v="Total Neighborhood &amp; by Age &amp; Insurance" u="1"/>
      </sharedItems>
    </cacheField>
    <cacheField name="Id" numFmtId="0">
      <sharedItems containsSemiMixedTypes="0" containsString="0" containsNumber="1" containsInteger="1" minValue="1" maxValue="91"/>
    </cacheField>
    <cacheField name="Total" numFmtId="164">
      <sharedItems containsSemiMixedTypes="0" containsString="0" containsNumber="1" containsInteger="1" minValue="3" maxValue="15494"/>
    </cacheField>
    <cacheField name="Under 18 years" numFmtId="164">
      <sharedItems containsSemiMixedTypes="0" containsString="0" containsNumber="1" containsInteger="1" minValue="0" maxValue="2587" count="85">
        <n v="181"/>
        <n v="34"/>
        <n v="812"/>
        <n v="338"/>
        <n v="122"/>
        <n v="341"/>
        <n v="477"/>
        <n v="1399"/>
        <n v="331"/>
        <n v="670"/>
        <n v="71"/>
        <n v="249"/>
        <n v="1425"/>
        <n v="2532"/>
        <n v="186"/>
        <n v="2117"/>
        <n v="69"/>
        <n v="367"/>
        <n v="548"/>
        <n v="56"/>
        <n v="90"/>
        <n v="0"/>
        <n v="998"/>
        <n v="420"/>
        <n v="359"/>
        <n v="144"/>
        <n v="89"/>
        <n v="742"/>
        <n v="1059"/>
        <n v="726"/>
        <n v="41"/>
        <n v="121"/>
        <n v="271"/>
        <n v="109"/>
        <n v="1000"/>
        <n v="118"/>
        <n v="1221"/>
        <n v="84"/>
        <n v="1056"/>
        <n v="1492"/>
        <n v="1275"/>
        <n v="555"/>
        <n v="140"/>
        <n v="1434"/>
        <n v="388"/>
        <n v="646"/>
        <n v="916"/>
        <n v="290"/>
        <n v="1018"/>
        <n v="211"/>
        <n v="519"/>
        <n v="840"/>
        <n v="962"/>
        <n v="120"/>
        <n v="315"/>
        <n v="12"/>
        <n v="708"/>
        <n v="147"/>
        <n v="620"/>
        <n v="640"/>
        <n v="829"/>
        <n v="1043"/>
        <n v="127"/>
        <n v="95"/>
        <n v="213"/>
        <n v="37"/>
        <n v="1594"/>
        <n v="224"/>
        <n v="266"/>
        <n v="433"/>
        <n v="126"/>
        <n v="743"/>
        <n v="1519"/>
        <n v="2587"/>
        <n v="866"/>
        <n v="33"/>
        <n v="227"/>
        <n v="268"/>
        <n v="262"/>
        <n v="320"/>
        <n v="254"/>
        <n v="522"/>
        <n v="219"/>
        <n v="732"/>
        <n v="321"/>
      </sharedItems>
    </cacheField>
    <cacheField name="Total Insured Under 18 years" numFmtId="164">
      <sharedItems containsSemiMixedTypes="0" containsString="0" containsNumber="1" containsInteger="1" minValue="0" maxValue="5066"/>
    </cacheField>
    <cacheField name="Under 18 years - With one type of health insurance coverage" numFmtId="164">
      <sharedItems containsSemiMixedTypes="0" containsString="0" containsNumber="1" containsInteger="1" minValue="0" maxValue="2415"/>
    </cacheField>
    <cacheField name="Under 18 years - With one type of health insurance coverage &amp; employer-based health insurance only" numFmtId="164">
      <sharedItems containsSemiMixedTypes="0" containsString="0" containsNumber="1" containsInteger="1" minValue="0" maxValue="1938"/>
    </cacheField>
    <cacheField name="Under 18 years - With one type of health insurance coverage &amp; direct-purchase health insurance only" numFmtId="164">
      <sharedItems containsSemiMixedTypes="0" containsString="0" containsNumber="1" containsInteger="1" minValue="0" maxValue="321"/>
    </cacheField>
    <cacheField name="Under 18 years - With one type of health insurance coverage &amp; Medicare coverage only" numFmtId="164">
      <sharedItems containsSemiMixedTypes="0" containsString="0" containsNumber="1" containsInteger="1" minValue="0" maxValue="65"/>
    </cacheField>
    <cacheField name="Under 18 years - With one type of health insurance coverage &amp; Medicaid/means-tested public coverage only" numFmtId="164">
      <sharedItems containsSemiMixedTypes="0" containsString="0" containsNumber="1" containsInteger="1" minValue="0" maxValue="1487"/>
    </cacheField>
    <cacheField name="Under 18 years - With one type of health insurance coverage &amp; TRICARE/military health coverage only" numFmtId="164">
      <sharedItems containsSemiMixedTypes="0" containsString="0" containsNumber="1" containsInteger="1" minValue="0" maxValue="49"/>
    </cacheField>
    <cacheField name="Under 18 years - With one type of health insurance coverage &amp; VA Health Care only" numFmtId="164">
      <sharedItems containsSemiMixedTypes="0" containsString="0" containsNumber="1" containsInteger="1" minValue="0" maxValue="0"/>
    </cacheField>
    <cacheField name="Under 18 years - With two or more types of health insurance coverage" numFmtId="164">
      <sharedItems containsSemiMixedTypes="0" containsString="0" containsNumber="1" containsInteger="1" minValue="0" maxValue="243"/>
    </cacheField>
    <cacheField name="Under 18 years - With two or more types of health insurance coverage, employer-based &amp; direct-purchase coverage" numFmtId="164">
      <sharedItems containsSemiMixedTypes="0" containsString="0" containsNumber="1" containsInteger="1" minValue="0" maxValue="75"/>
    </cacheField>
    <cacheField name="Under 18 years - With two or more types of health insurance coverage, employer-based &amp; Medicare coverage" numFmtId="164">
      <sharedItems containsSemiMixedTypes="0" containsString="0" containsNumber="1" containsInteger="1" minValue="0" maxValue="9"/>
    </cacheField>
    <cacheField name="Under 18 years - With two or more types of health insurance coverage, Medicare &amp; Medicaid/means-tested public coverage" numFmtId="164">
      <sharedItems containsSemiMixedTypes="0" containsString="0" containsNumber="1" containsInteger="1" minValue="0" maxValue="68"/>
    </cacheField>
    <cacheField name="Under 18 years - With two or more types of health insurance coverage &amp; Other private only combinations" numFmtId="164">
      <sharedItems containsSemiMixedTypes="0" containsString="0" containsNumber="1" containsInteger="1" minValue="0" maxValue="21"/>
    </cacheField>
    <cacheField name="Under 18 years - With two or more types of health insurance coverage &amp; Other public only combinations" numFmtId="164">
      <sharedItems containsSemiMixedTypes="0" containsString="0" containsNumber="1" containsInteger="1" minValue="0" maxValue="0"/>
    </cacheField>
    <cacheField name="Under 18 years - With two or more types of health insurance coverage &amp; Other coverage combinations" numFmtId="164">
      <sharedItems containsSemiMixedTypes="0" containsString="0" containsNumber="1" containsInteger="1" minValue="0" maxValue="221"/>
    </cacheField>
    <cacheField name="Under 18 years - Penetration Rate" numFmtId="9">
      <sharedItems containsSemiMixedTypes="0" containsString="0" containsNumber="1" minValue="0" maxValue="0.91003236245954688"/>
    </cacheField>
    <cacheField name="Under 18 years - Uninsured Rate" numFmtId="0">
      <sharedItems containsSemiMixedTypes="0" containsString="0" containsNumber="1" minValue="8.9967637540453116E-2" maxValue="1"/>
    </cacheField>
    <cacheField name="Under 18 years - No health insurance coverage" numFmtId="164">
      <sharedItems containsSemiMixedTypes="0" containsString="0" containsNumber="1" containsInteger="1" minValue="0" maxValue="217"/>
    </cacheField>
    <cacheField name="18 to 34 years" numFmtId="164">
      <sharedItems containsSemiMixedTypes="0" containsString="0" containsNumber="1" containsInteger="1" minValue="0" maxValue="8107" count="88">
        <n v="723"/>
        <n v="122"/>
        <n v="470"/>
        <n v="570"/>
        <n v="104"/>
        <n v="1255"/>
        <n v="364"/>
        <n v="2265"/>
        <n v="369"/>
        <n v="4419"/>
        <n v="3543"/>
        <n v="215"/>
        <n v="1688"/>
        <n v="3173"/>
        <n v="242"/>
        <n v="2549"/>
        <n v="2400"/>
        <n v="1838"/>
        <n v="832"/>
        <n v="5128"/>
        <n v="66"/>
        <n v="0"/>
        <n v="997"/>
        <n v="512"/>
        <n v="742"/>
        <n v="642"/>
        <n v="236"/>
        <n v="624"/>
        <n v="1897"/>
        <n v="476"/>
        <n v="136"/>
        <n v="737"/>
        <n v="280"/>
        <n v="1121"/>
        <n v="1056"/>
        <n v="102"/>
        <n v="2527"/>
        <n v="59"/>
        <n v="743"/>
        <n v="1690"/>
        <n v="789"/>
        <n v="545"/>
        <n v="196"/>
        <n v="1152"/>
        <n v="302"/>
        <n v="667"/>
        <n v="1210"/>
        <n v="1010"/>
        <n v="622"/>
        <n v="1166"/>
        <n v="450"/>
        <n v="885"/>
        <n v="1053"/>
        <n v="3820"/>
        <n v="155"/>
        <n v="132"/>
        <n v="7334"/>
        <n v="116"/>
        <n v="489"/>
        <n v="318"/>
        <n v="817"/>
        <n v="957"/>
        <n v="701"/>
        <n v="1170"/>
        <n v="693"/>
        <n v="243"/>
        <n v="8107"/>
        <n v="1244"/>
        <n v="1792"/>
        <n v="8"/>
        <n v="3623"/>
        <n v="2090"/>
        <n v="209"/>
        <n v="505"/>
        <n v="5770"/>
        <n v="5416"/>
        <n v="67"/>
        <n v="372"/>
        <n v="287"/>
        <n v="264"/>
        <n v="1375"/>
        <n v="721"/>
        <n v="465"/>
        <n v="1071"/>
        <n v="144"/>
        <n v="919"/>
        <n v="902"/>
        <n v="335"/>
      </sharedItems>
    </cacheField>
    <cacheField name="Total Insured Under 18 to 34 years" numFmtId="164">
      <sharedItems containsSemiMixedTypes="0" containsString="0" containsNumber="1" containsInteger="1" minValue="0" maxValue="15278"/>
    </cacheField>
    <cacheField name="Coverage Rate ( 18 to 34 years )" numFmtId="9">
      <sharedItems containsMixedTypes="1" containsNumber="1" minValue="0.61111111111111116" maxValue="1"/>
    </cacheField>
    <cacheField name="Real Coverage Rate ( 18 to 34 years )" numFmtId="9">
      <sharedItems containsSemiMixedTypes="0" containsString="0" containsNumber="1" minValue="0" maxValue="1"/>
    </cacheField>
    <cacheField name="18 to 34 years - With one type of health insurance coverage" numFmtId="164">
      <sharedItems containsSemiMixedTypes="0" containsString="0" containsNumber="1" containsInteger="1" minValue="0" maxValue="7214"/>
    </cacheField>
    <cacheField name="18 to 34 years - With one type of health insurance coverage &amp; With employer-based health insurance only" numFmtId="164">
      <sharedItems containsSemiMixedTypes="0" containsString="0" containsNumber="1" containsInteger="1" minValue="0" maxValue="5539"/>
    </cacheField>
    <cacheField name="18 to 34 years -  With one type of health insurance coverage &amp; direct-purchase health insurance only" numFmtId="164">
      <sharedItems containsSemiMixedTypes="0" containsString="0" containsNumber="1" containsInteger="1" minValue="0" maxValue="1607"/>
    </cacheField>
    <cacheField name="18 to 34 years - With one type of health insurance coverage &amp; Medicare coverage only" numFmtId="164">
      <sharedItems containsSemiMixedTypes="0" containsString="0" containsNumber="1" containsInteger="1" minValue="0" maxValue="30"/>
    </cacheField>
    <cacheField name="18 to 34 years - With one type of health insurance coverage &amp; Medicaid/means-tested public coverage only" numFmtId="164">
      <sharedItems containsSemiMixedTypes="0" containsString="0" containsNumber="1" containsInteger="1" minValue="0" maxValue="540"/>
    </cacheField>
    <cacheField name="18 to 34 years - With one type of health insurance coverage &amp; TRICARE/military health coverage only" numFmtId="164">
      <sharedItems containsSemiMixedTypes="0" containsString="0" containsNumber="1" containsInteger="1" minValue="0" maxValue="80"/>
    </cacheField>
    <cacheField name="18 to 34 years - With one type of health insurance coverage &amp; VA Health Care only" numFmtId="164">
      <sharedItems containsSemiMixedTypes="0" containsString="0" containsNumber="1" containsInteger="1" minValue="0" maxValue="19"/>
    </cacheField>
    <cacheField name="18 to 34 years - With two or more types of health insurance coverage" numFmtId="164">
      <sharedItems containsSemiMixedTypes="0" containsString="0" containsNumber="1" containsInteger="1" minValue="0" maxValue="425"/>
    </cacheField>
    <cacheField name="18 to 34 years - With two or more types of health insurance coverage &amp; employer-based and direct-purchase coverage" numFmtId="164">
      <sharedItems containsSemiMixedTypes="0" containsString="0" containsNumber="1" containsInteger="1" minValue="0" maxValue="349"/>
    </cacheField>
    <cacheField name="18 to 34 years - With two or more types of health insurance coverage &amp; employer-based and Medicare coverage" numFmtId="164">
      <sharedItems containsSemiMixedTypes="0" containsString="0" containsNumber="1" containsInteger="1" minValue="0" maxValue="9"/>
    </cacheField>
    <cacheField name="18 to 34 years - With two or more types of health insurance coverage &amp; Medicare and Medicaid/means-tested public coverage" numFmtId="164">
      <sharedItems containsSemiMixedTypes="0" containsString="0" containsNumber="1" containsInteger="1" minValue="0" maxValue="56"/>
    </cacheField>
    <cacheField name="18 to 34 years - With two or more types of health insurance coverage &amp; Other private only combinations" numFmtId="164">
      <sharedItems containsSemiMixedTypes="0" containsString="0" containsNumber="1" containsInteger="1" minValue="0" maxValue="44"/>
    </cacheField>
    <cacheField name="18 to 34 years - With two or more types of health insurance coverage &amp; Other public only combinations" numFmtId="164">
      <sharedItems containsSemiMixedTypes="0" containsString="0" containsNumber="1" containsInteger="1" minValue="0" maxValue="10"/>
    </cacheField>
    <cacheField name="18 to 34 years - With two or more types of health insurance coverage &amp; Other coverage combinations" numFmtId="164">
      <sharedItems containsSemiMixedTypes="0" containsString="0" containsNumber="1" containsInteger="1" minValue="0" maxValue="132"/>
    </cacheField>
    <cacheField name="18 to 34 years - Penetration rate" numFmtId="9">
      <sharedItems containsSemiMixedTypes="0" containsString="0" containsNumber="1" minValue="0" maxValue="1.7489243229562137"/>
    </cacheField>
    <cacheField name="18 to 34 years - Uninsured rate" numFmtId="9">
      <sharedItems containsSemiMixedTypes="0" containsString="0" containsNumber="1" minValue="-0.74892432295621369" maxValue="1"/>
    </cacheField>
    <cacheField name="18 to 34 years - No health insurance coverage" numFmtId="164">
      <sharedItems containsSemiMixedTypes="0" containsString="0" containsNumber="1" containsInteger="1" minValue="0" maxValue="742"/>
    </cacheField>
    <cacheField name="35 to 64 years" numFmtId="164">
      <sharedItems containsSemiMixedTypes="0" containsString="0" containsNumber="1" containsInteger="1" minValue="0" maxValue="5534" count="91">
        <n v="323"/>
        <n v="115"/>
        <n v="1007"/>
        <n v="773"/>
        <n v="36"/>
        <n v="1471"/>
        <n v="345"/>
        <n v="3156"/>
        <n v="718"/>
        <n v="2483"/>
        <n v="223"/>
        <n v="342"/>
        <n v="3057"/>
        <n v="5534"/>
        <n v="293"/>
        <n v="4001"/>
        <n v="1182"/>
        <n v="1729"/>
        <n v="1077"/>
        <n v="433"/>
        <n v="233"/>
        <n v="0"/>
        <n v="1437"/>
        <n v="744"/>
        <n v="1037"/>
        <n v="1009"/>
        <n v="229"/>
        <n v="1102"/>
        <n v="1719"/>
        <n v="1029"/>
        <n v="103"/>
        <n v="237"/>
        <n v="581"/>
        <n v="503"/>
        <n v="1463"/>
        <n v="205"/>
        <n v="2761"/>
        <n v="200"/>
        <n v="1764"/>
        <n v="2700"/>
        <n v="957"/>
        <n v="665"/>
        <n v="276"/>
        <n v="1272"/>
        <n v="482"/>
        <n v="1545"/>
        <n v="1772"/>
        <n v="770"/>
        <n v="782"/>
        <n v="1392"/>
        <n v="719"/>
        <n v="1304"/>
        <n v="1187"/>
        <n v="2581"/>
        <n v="261"/>
        <n v="451"/>
        <n v="785"/>
        <n v="70"/>
        <n v="243"/>
        <n v="399"/>
        <n v="1468"/>
        <n v="1693"/>
        <n v="1193"/>
        <n v="2323"/>
        <n v="696"/>
        <n v="544"/>
        <n v="379"/>
        <n v="135"/>
        <n v="3008"/>
        <n v="2242"/>
        <n v="585"/>
        <n v="4"/>
        <n v="1629"/>
        <n v="1590"/>
        <n v="368"/>
        <n v="781"/>
        <n v="2599"/>
        <n v="4927"/>
        <n v="111"/>
        <n v="1944"/>
        <n v="287"/>
        <n v="487"/>
        <n v="614"/>
        <n v="438"/>
        <n v="909"/>
        <n v="771"/>
        <n v="825"/>
        <n v="66"/>
        <n v="388"/>
        <n v="1402"/>
        <n v="589"/>
      </sharedItems>
    </cacheField>
    <cacheField name="Total Insured Under 35 to 64 years" numFmtId="164">
      <sharedItems containsSemiMixedTypes="0" containsString="0" containsNumber="1" containsInteger="1" minValue="0" maxValue="9898"/>
    </cacheField>
    <cacheField name="Coverage Rate ( 35 to 64 years )" numFmtId="9">
      <sharedItems containsMixedTypes="1" containsNumber="1" minValue="0.33333333333333331" maxValue="1"/>
    </cacheField>
    <cacheField name="35 to 64 years - Real Coverage Rate" numFmtId="9">
      <sharedItems containsSemiMixedTypes="0" containsString="0" containsNumber="1" minValue="0" maxValue="1"/>
    </cacheField>
    <cacheField name="35 to 64 years - With one type of health insurance coverage" numFmtId="164">
      <sharedItems containsSemiMixedTypes="0" containsString="0" containsNumber="1" containsInteger="1" minValue="0" maxValue="4605"/>
    </cacheField>
    <cacheField name="35 to 64 years - With one type of health insurance coverage &amp; employer-based health insurance only" numFmtId="164">
      <sharedItems containsSemiMixedTypes="0" containsString="0" containsNumber="1" containsInteger="1" minValue="0" maxValue="3671"/>
    </cacheField>
    <cacheField name="35 to 64 years - With one type of health insurance coverage &amp; direct-purchase health insurance only" numFmtId="164">
      <sharedItems containsSemiMixedTypes="0" containsString="0" containsNumber="1" containsInteger="1" minValue="0" maxValue="547"/>
    </cacheField>
    <cacheField name="35 to 64 years - With one type of health insurance coverage &amp; Medicare coverage only" numFmtId="164">
      <sharedItems containsSemiMixedTypes="0" containsString="0" containsNumber="1" containsInteger="1" minValue="0" maxValue="127"/>
    </cacheField>
    <cacheField name="35 to 64 years - With one type of health insurance coverage &amp; Medicaid/means-tested public coverage only" numFmtId="164">
      <sharedItems containsSemiMixedTypes="0" containsString="0" containsNumber="1" containsInteger="1" minValue="0" maxValue="499"/>
    </cacheField>
    <cacheField name="35 to 64 years - With one type of health insurance coverage &amp; TRICARE/military health coverage only" numFmtId="164">
      <sharedItems containsSemiMixedTypes="0" containsString="0" containsNumber="1" containsInteger="1" minValue="0" maxValue="55"/>
    </cacheField>
    <cacheField name="35 to 64 years - With one type of health insurance coverage &amp; VA Health Care only" numFmtId="164">
      <sharedItems containsSemiMixedTypes="0" containsString="0" containsNumber="1" containsInteger="1" minValue="0" maxValue="106"/>
    </cacheField>
    <cacheField name="35 to 64 years - With two or more types of health insurance coverage" numFmtId="164">
      <sharedItems containsSemiMixedTypes="0" containsString="0" containsNumber="1" containsInteger="1" minValue="0" maxValue="492"/>
    </cacheField>
    <cacheField name="35 to 64 years - With two or more types of health insurance coverage, employer-based &amp; direct-purchase coverage" numFmtId="164">
      <sharedItems containsSemiMixedTypes="0" containsString="0" containsNumber="1" containsInteger="1" minValue="0" maxValue="157"/>
    </cacheField>
    <cacheField name="35 to 64 years - With two or more types of health insurance coverage, employer-based &amp; Medicare coverage" numFmtId="164">
      <sharedItems containsSemiMixedTypes="0" containsString="0" containsNumber="1" containsInteger="1" minValue="0" maxValue="32"/>
    </cacheField>
    <cacheField name="35 to 64 years - With two or more types of health insurance coverage, direct-purchase &amp; Medicare coverage" numFmtId="164">
      <sharedItems containsSemiMixedTypes="0" containsString="0" containsNumber="1" containsInteger="1" minValue="0" maxValue="27"/>
    </cacheField>
    <cacheField name="35 to 64 years - With two or more types of health insurance coverage &amp; Medicare and Medicaid/means-tested public coverage" numFmtId="164">
      <sharedItems containsSemiMixedTypes="0" containsString="0" containsNumber="1" containsInteger="1" minValue="0" maxValue="182"/>
    </cacheField>
    <cacheField name="35 to 64 years - With two or more types of health insurance coverage &amp; Other private only combinations" numFmtId="164">
      <sharedItems containsSemiMixedTypes="0" containsString="0" containsNumber="1" containsInteger="1" minValue="0" maxValue="36"/>
    </cacheField>
    <cacheField name="35 to 64 years - With two or more types of health insurance coverage &amp; Other public only combinations" numFmtId="164">
      <sharedItems containsSemiMixedTypes="0" containsString="0" containsNumber="1" containsInteger="1" minValue="0" maxValue="43"/>
    </cacheField>
    <cacheField name="35 to 64 years - With two or more types of health insurance coverage &amp; Other coverage combinations" numFmtId="164">
      <sharedItems containsSemiMixedTypes="0" containsString="0" containsNumber="1" containsInteger="1" minValue="0" maxValue="190"/>
    </cacheField>
    <cacheField name="35 to 64 years - Penetration Rate" numFmtId="9">
      <sharedItems containsSemiMixedTypes="0" containsString="0" containsNumber="1" minValue="0" maxValue="0.91851851851851851"/>
    </cacheField>
    <cacheField name="35 to 64 years - Uninsured rate" numFmtId="9">
      <sharedItems containsSemiMixedTypes="0" containsString="0" containsNumber="1" minValue="8.1481481481481488E-2" maxValue="1"/>
    </cacheField>
    <cacheField name="35 to 64 years - No health insurance coverage" numFmtId="164">
      <sharedItems containsSemiMixedTypes="0" containsString="0" containsNumber="1" containsInteger="1" minValue="0" maxValue="585"/>
    </cacheField>
    <cacheField name="65 years and over" numFmtId="164">
      <sharedItems containsSemiMixedTypes="0" containsString="0" containsNumber="1" containsInteger="1" minValue="0" maxValue="2564" count="88">
        <n v="168"/>
        <n v="72"/>
        <n v="269"/>
        <n v="171"/>
        <n v="10"/>
        <n v="630"/>
        <n v="163"/>
        <n v="1176"/>
        <n v="284"/>
        <n v="1095"/>
        <n v="114"/>
        <n v="109"/>
        <n v="1191"/>
        <n v="1911"/>
        <n v="74"/>
        <n v="1444"/>
        <n v="409"/>
        <n v="664"/>
        <n v="430"/>
        <n v="205"/>
        <n v="3"/>
        <n v="532"/>
        <n v="549"/>
        <n v="384"/>
        <n v="300"/>
        <n v="56"/>
        <n v="391"/>
        <n v="725"/>
        <n v="260"/>
        <n v="29"/>
        <n v="86"/>
        <n v="138"/>
        <n v="96"/>
        <n v="447"/>
        <n v="82"/>
        <n v="1181"/>
        <n v="62"/>
        <n v="694"/>
        <n v="923"/>
        <n v="350"/>
        <n v="511"/>
        <n v="238"/>
        <n v="397"/>
        <n v="321"/>
        <n v="641"/>
        <n v="745"/>
        <n v="372"/>
        <n v="250"/>
        <n v="484"/>
        <n v="375"/>
        <n v="554"/>
        <n v="319"/>
        <n v="1356"/>
        <n v="179"/>
        <n v="1159"/>
        <n v="7"/>
        <n v="105"/>
        <n v="194"/>
        <n v="682"/>
        <n v="454"/>
        <n v="565"/>
        <n v="878"/>
        <n v="198"/>
        <n v="203"/>
        <n v="76"/>
        <n v="1239"/>
        <n v="604"/>
        <n v="271"/>
        <n v="0"/>
        <n v="754"/>
        <n v="470"/>
        <n v="130"/>
        <n v="334"/>
        <n v="1441"/>
        <n v="2564"/>
        <n v="8"/>
        <n v="850"/>
        <n v="55"/>
        <n v="190"/>
        <n v="199"/>
        <n v="217"/>
        <n v="333"/>
        <n v="374"/>
        <n v="336"/>
        <n v="25"/>
        <n v="141"/>
        <n v="475"/>
        <n v="289"/>
      </sharedItems>
    </cacheField>
    <cacheField name="Total Insured Under 65 years and over" numFmtId="164">
      <sharedItems containsSemiMixedTypes="0" containsString="0" containsNumber="1" containsInteger="1" minValue="0" maxValue="5074"/>
    </cacheField>
    <cacheField name="Coverage Rate ( 65 years and over )" numFmtId="9">
      <sharedItems containsMixedTypes="1" containsNumber="1" minValue="0.98210290827740487" maxValue="1"/>
    </cacheField>
    <cacheField name="65 years and over - Real Coverage Rate" numFmtId="9">
      <sharedItems containsSemiMixedTypes="0" containsString="0" containsNumber="1" minValue="0" maxValue="1"/>
    </cacheField>
    <cacheField name="65 years and over - With one type of health insurance coverage" numFmtId="164">
      <sharedItems containsSemiMixedTypes="0" containsString="0" containsNumber="1" containsInteger="1" minValue="0" maxValue="818"/>
    </cacheField>
    <cacheField name="65 years and over - With one type of health insurance coverage &amp; employer-based health insurance only" numFmtId="164">
      <sharedItems containsSemiMixedTypes="0" containsString="0" containsNumber="1" containsInteger="1" minValue="0" maxValue="159"/>
    </cacheField>
    <cacheField name="65 years and over - With one type of health insurance coverage &amp; direct-purchase health insurance only" numFmtId="164">
      <sharedItems containsSemiMixedTypes="0" containsString="0" containsNumber="1" containsInteger="1" minValue="0" maxValue="43"/>
    </cacheField>
    <cacheField name="65 years and over - With one type of health insurance coverage &amp; Medicare coverage only" numFmtId="164">
      <sharedItems containsSemiMixedTypes="0" containsString="0" containsNumber="1" containsInteger="1" minValue="0" maxValue="636"/>
    </cacheField>
    <cacheField name="65 years and over - With one type of health insurance coverage &amp; TRICARE/military health coverage only" numFmtId="164">
      <sharedItems containsSemiMixedTypes="0" containsString="0" containsNumber="1" containsInteger="1" minValue="0" maxValue="0"/>
    </cacheField>
    <cacheField name="65 years and over - With one type of health insurance coverage &amp; With VA Health Care only" numFmtId="164">
      <sharedItems containsSemiMixedTypes="0" containsString="0" containsNumber="1" containsInteger="1" minValue="0" maxValue="19"/>
    </cacheField>
    <cacheField name="65 years and over - With two or more types of health insurance coverage" numFmtId="164">
      <sharedItems containsSemiMixedTypes="0" containsString="0" containsNumber="1" containsInteger="1" minValue="0" maxValue="1719"/>
    </cacheField>
    <cacheField name="65 years and over - With two or more types of health insurance coverage, employer-based &amp; direct-purchase coverage" numFmtId="164">
      <sharedItems containsSemiMixedTypes="0" containsString="0" containsNumber="1" containsInteger="1" minValue="0" maxValue="10"/>
    </cacheField>
    <cacheField name="65 years and over - With two or more types of health insurance coverage, employer-based &amp; Medicare coverage" numFmtId="164">
      <sharedItems containsSemiMixedTypes="0" containsString="0" containsNumber="1" containsInteger="1" minValue="0" maxValue="430"/>
    </cacheField>
    <cacheField name="65 years and over - With two or more types of health insurance coverage, direct-purchase &amp; Medicare coverage" numFmtId="164">
      <sharedItems containsSemiMixedTypes="0" containsString="0" containsNumber="1" containsInteger="1" minValue="0" maxValue="713"/>
    </cacheField>
    <cacheField name="65 years and over - With two or more types of health insurance coverage, Medicare &amp; Medicaid/means-tested public coverage" numFmtId="164">
      <sharedItems containsSemiMixedTypes="0" containsString="0" containsNumber="1" containsInteger="1" minValue="0" maxValue="218"/>
    </cacheField>
    <cacheField name="65 years and over - With two or more types of health insurance coverage &amp; Other private only combinations" numFmtId="164">
      <sharedItems containsSemiMixedTypes="0" containsString="0" containsNumber="1" containsInteger="1" minValue="0" maxValue="8"/>
    </cacheField>
    <cacheField name="65 years and over - With two or more types of health insurance coverage &amp; Other public only combinations" numFmtId="164">
      <sharedItems containsSemiMixedTypes="0" containsString="0" containsNumber="1" containsInteger="1" minValue="0" maxValue="67"/>
    </cacheField>
    <cacheField name="65 years and over - With two or more types of health insurance coverage &amp; Other coverage combinations" numFmtId="164">
      <sharedItems containsSemiMixedTypes="0" containsString="0" containsNumber="1" containsInteger="1" minValue="0" maxValue="498"/>
    </cacheField>
    <cacheField name="65 years and over - Penetration Rate" numFmtId="9">
      <sharedItems containsSemiMixedTypes="0" containsString="0" containsNumber="1" minValue="0" maxValue="2"/>
    </cacheField>
    <cacheField name="65 years and over - Uninsured rate" numFmtId="9">
      <sharedItems containsSemiMixedTypes="0" containsString="0" containsNumber="1" minValue="-1" maxValue="1"/>
    </cacheField>
    <cacheField name="65 years and over - No health insurance coverage" numFmtId="164">
      <sharedItems containsSemiMixedTypes="0" containsString="0" containsNumber="1" containsInteger="1" minValue="0" maxValue="27"/>
    </cacheField>
    <cacheField name="Total Insured Neighborhood" numFmtId="164">
      <sharedItems containsNonDate="0" containsString="0" containsBlank="1"/>
    </cacheField>
  </cacheFields>
  <extLst>
    <ext xmlns:x14="http://schemas.microsoft.com/office/spreadsheetml/2009/9/main" uri="{725AE2AE-9491-48be-B2B4-4EB974FC3084}">
      <x14:pivotCacheDefinition pivotCacheId="336583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n v="1"/>
    <n v="1395"/>
    <x v="0"/>
    <n v="238"/>
    <n v="103"/>
    <n v="32"/>
    <n v="0"/>
    <n v="0"/>
    <n v="71"/>
    <n v="0"/>
    <n v="0"/>
    <n v="16"/>
    <n v="0"/>
    <n v="0"/>
    <n v="0"/>
    <n v="0"/>
    <n v="0"/>
    <n v="16"/>
    <n v="0.17060931899641577"/>
    <n v="0.82939068100358426"/>
    <n v="62"/>
    <x v="0"/>
    <n v="1308"/>
    <n v="0.9045643153526971"/>
    <n v="0.9045643153526971"/>
    <n v="649"/>
    <n v="416"/>
    <n v="162"/>
    <n v="0"/>
    <n v="71"/>
    <n v="0"/>
    <n v="0"/>
    <n v="5"/>
    <n v="5"/>
    <n v="0"/>
    <n v="0"/>
    <n v="0"/>
    <n v="0"/>
    <n v="0"/>
    <n v="0.93763440860215053"/>
    <n v="6.2365591397849474E-2"/>
    <n v="69"/>
    <x v="0"/>
    <n v="584"/>
    <n v="0.90402476780185759"/>
    <n v="0.90402476780185759"/>
    <n v="232"/>
    <n v="169"/>
    <n v="19"/>
    <n v="16"/>
    <n v="19"/>
    <n v="0"/>
    <n v="9"/>
    <n v="60"/>
    <n v="0"/>
    <n v="0"/>
    <n v="0"/>
    <n v="14"/>
    <n v="12"/>
    <n v="0"/>
    <n v="34"/>
    <n v="0.41863799283154124"/>
    <n v="0.58136200716845876"/>
    <n v="31"/>
    <x v="0"/>
    <n v="336"/>
    <n v="1"/>
    <n v="1"/>
    <n v="78"/>
    <n v="0"/>
    <n v="0"/>
    <n v="78"/>
    <n v="0"/>
    <n v="0"/>
    <n v="90"/>
    <n v="0"/>
    <n v="34"/>
    <n v="14"/>
    <n v="10"/>
    <n v="0"/>
    <n v="0"/>
    <n v="32"/>
    <n v="0.24086021505376345"/>
    <n v="0.75913978494623657"/>
    <n v="0"/>
    <m/>
  </r>
  <r>
    <x v="1"/>
    <n v="2"/>
    <n v="343"/>
    <x v="1"/>
    <n v="68"/>
    <n v="18"/>
    <n v="18"/>
    <n v="0"/>
    <n v="0"/>
    <n v="0"/>
    <n v="0"/>
    <n v="0"/>
    <n v="16"/>
    <n v="0"/>
    <n v="0"/>
    <n v="0"/>
    <n v="0"/>
    <n v="0"/>
    <n v="16"/>
    <n v="0.19825072886297376"/>
    <n v="0.80174927113702621"/>
    <n v="0"/>
    <x v="1"/>
    <n v="178"/>
    <n v="0.72950819672131151"/>
    <n v="0.72950819672131151"/>
    <n v="89"/>
    <n v="84"/>
    <n v="5"/>
    <n v="0"/>
    <n v="0"/>
    <n v="0"/>
    <n v="0"/>
    <n v="0"/>
    <n v="0"/>
    <n v="0"/>
    <n v="0"/>
    <n v="0"/>
    <n v="0"/>
    <n v="0"/>
    <n v="0.51895043731778423"/>
    <n v="0.48104956268221577"/>
    <n v="33"/>
    <x v="1"/>
    <n v="220"/>
    <n v="0.95652173913043481"/>
    <n v="0.95652173913043481"/>
    <n v="79"/>
    <n v="52"/>
    <n v="8"/>
    <n v="0"/>
    <n v="0"/>
    <n v="0"/>
    <n v="19"/>
    <n v="31"/>
    <n v="0"/>
    <n v="0"/>
    <n v="0"/>
    <n v="5"/>
    <n v="0"/>
    <n v="0"/>
    <n v="26"/>
    <n v="0.64139941690962099"/>
    <n v="0.35860058309037901"/>
    <n v="5"/>
    <x v="1"/>
    <n v="144"/>
    <n v="1"/>
    <n v="1"/>
    <n v="9"/>
    <n v="0"/>
    <n v="0"/>
    <n v="9"/>
    <n v="0"/>
    <n v="0"/>
    <n v="63"/>
    <n v="0"/>
    <n v="23"/>
    <n v="34"/>
    <n v="0"/>
    <n v="0"/>
    <n v="0"/>
    <n v="6"/>
    <n v="0.41982507288629739"/>
    <n v="0.58017492711370267"/>
    <n v="0"/>
    <m/>
  </r>
  <r>
    <x v="2"/>
    <n v="3"/>
    <n v="2558"/>
    <x v="2"/>
    <n v="1624"/>
    <n v="781"/>
    <n v="103"/>
    <n v="26"/>
    <n v="37"/>
    <n v="615"/>
    <n v="0"/>
    <n v="0"/>
    <n v="31"/>
    <n v="0"/>
    <n v="0"/>
    <n v="0"/>
    <n v="0"/>
    <n v="0"/>
    <n v="31"/>
    <n v="0.63487099296325256"/>
    <n v="0.36512900703674744"/>
    <n v="0"/>
    <x v="2"/>
    <n v="696"/>
    <n v="0.74042553191489358"/>
    <n v="0.74042553191489358"/>
    <n v="338"/>
    <n v="159"/>
    <n v="10"/>
    <n v="0"/>
    <n v="169"/>
    <n v="0"/>
    <n v="0"/>
    <n v="10"/>
    <n v="0"/>
    <n v="0"/>
    <n v="0"/>
    <n v="0"/>
    <n v="0"/>
    <n v="10"/>
    <n v="0.2720875684128225"/>
    <n v="0.72791243158717744"/>
    <n v="122"/>
    <x v="2"/>
    <n v="1634"/>
    <n v="0.81132075471698117"/>
    <n v="0.81132075471698117"/>
    <n v="648"/>
    <n v="322"/>
    <n v="73"/>
    <n v="11"/>
    <n v="242"/>
    <n v="0"/>
    <n v="0"/>
    <n v="169"/>
    <n v="73"/>
    <n v="0"/>
    <n v="0"/>
    <n v="41"/>
    <n v="0"/>
    <n v="27"/>
    <n v="28"/>
    <n v="0.63878029710711492"/>
    <n v="0.36121970289288508"/>
    <n v="190"/>
    <x v="2"/>
    <n v="538"/>
    <n v="1"/>
    <n v="1"/>
    <n v="47"/>
    <n v="0"/>
    <n v="0"/>
    <n v="47"/>
    <n v="0"/>
    <n v="0"/>
    <n v="222"/>
    <n v="0"/>
    <n v="40"/>
    <n v="36"/>
    <n v="52"/>
    <n v="0"/>
    <n v="6"/>
    <n v="88"/>
    <n v="0.21032056293979673"/>
    <n v="0.78967943706020327"/>
    <n v="0"/>
    <m/>
  </r>
  <r>
    <x v="3"/>
    <n v="4"/>
    <n v="1852"/>
    <x v="3"/>
    <n v="640"/>
    <n v="216"/>
    <n v="64"/>
    <n v="0"/>
    <n v="0"/>
    <n v="152"/>
    <n v="0"/>
    <n v="0"/>
    <n v="104"/>
    <n v="0"/>
    <n v="0"/>
    <n v="21"/>
    <n v="0"/>
    <n v="0"/>
    <n v="83"/>
    <n v="0.34557235421166305"/>
    <n v="0.6544276457883369"/>
    <n v="18"/>
    <x v="3"/>
    <n v="724"/>
    <n v="0.63508771929824559"/>
    <n v="0.63508771929824559"/>
    <n v="336"/>
    <n v="265"/>
    <n v="23"/>
    <n v="0"/>
    <n v="36"/>
    <n v="0"/>
    <n v="12"/>
    <n v="26"/>
    <n v="7"/>
    <n v="0"/>
    <n v="0"/>
    <n v="0"/>
    <n v="0"/>
    <n v="19"/>
    <n v="0.39092872570194387"/>
    <n v="0.60907127429805619"/>
    <n v="208"/>
    <x v="3"/>
    <n v="1302"/>
    <n v="0.84217335058214748"/>
    <n v="0.84217335058214748"/>
    <n v="561"/>
    <n v="438"/>
    <n v="29"/>
    <n v="6"/>
    <n v="88"/>
    <n v="0"/>
    <n v="0"/>
    <n v="90"/>
    <n v="14"/>
    <n v="0"/>
    <n v="7"/>
    <n v="42"/>
    <n v="10"/>
    <n v="8"/>
    <n v="9"/>
    <n v="0.70302375809935203"/>
    <n v="0.29697624190064797"/>
    <n v="122"/>
    <x v="3"/>
    <n v="342"/>
    <n v="1"/>
    <n v="1"/>
    <n v="22"/>
    <n v="0"/>
    <n v="0"/>
    <n v="22"/>
    <n v="0"/>
    <n v="0"/>
    <n v="149"/>
    <n v="0"/>
    <n v="17"/>
    <n v="61"/>
    <n v="26"/>
    <n v="0"/>
    <n v="11"/>
    <n v="34"/>
    <n v="0.18466522678185746"/>
    <n v="0.81533477321814252"/>
    <n v="0"/>
    <m/>
  </r>
  <r>
    <x v="4"/>
    <n v="5"/>
    <n v="272"/>
    <x v="4"/>
    <n v="244"/>
    <n v="97"/>
    <n v="0"/>
    <n v="0"/>
    <n v="0"/>
    <n v="97"/>
    <n v="0"/>
    <n v="0"/>
    <n v="25"/>
    <n v="0"/>
    <n v="0"/>
    <n v="0"/>
    <n v="0"/>
    <n v="0"/>
    <n v="25"/>
    <n v="0.8970588235294118"/>
    <n v="0.1029411764705882"/>
    <n v="0"/>
    <x v="4"/>
    <n v="196"/>
    <n v="0.94230769230769229"/>
    <n v="0.94230769230769229"/>
    <n v="98"/>
    <n v="12"/>
    <n v="0"/>
    <n v="0"/>
    <n v="86"/>
    <n v="0"/>
    <n v="0"/>
    <n v="0"/>
    <n v="0"/>
    <n v="0"/>
    <n v="0"/>
    <n v="0"/>
    <n v="0"/>
    <n v="0"/>
    <n v="0.72058823529411764"/>
    <n v="0.27941176470588236"/>
    <n v="6"/>
    <x v="4"/>
    <n v="24"/>
    <n v="0.33333333333333331"/>
    <n v="0.33333333333333331"/>
    <n v="12"/>
    <n v="0"/>
    <n v="0"/>
    <n v="0"/>
    <n v="12"/>
    <n v="0"/>
    <n v="0"/>
    <n v="0"/>
    <n v="0"/>
    <n v="0"/>
    <n v="0"/>
    <n v="0"/>
    <n v="0"/>
    <n v="0"/>
    <n v="0"/>
    <n v="8.8235294117647065E-2"/>
    <n v="0.91176470588235292"/>
    <n v="24"/>
    <x v="4"/>
    <n v="20"/>
    <n v="1"/>
    <n v="1"/>
    <n v="0"/>
    <n v="0"/>
    <n v="0"/>
    <n v="0"/>
    <n v="0"/>
    <n v="0"/>
    <n v="10"/>
    <n v="0"/>
    <n v="0"/>
    <n v="5"/>
    <n v="0"/>
    <n v="0"/>
    <n v="0"/>
    <n v="5"/>
    <n v="7.3529411764705885E-2"/>
    <n v="0.92647058823529416"/>
    <n v="0"/>
    <m/>
  </r>
  <r>
    <x v="5"/>
    <n v="6"/>
    <n v="3697"/>
    <x v="5"/>
    <n v="682"/>
    <n v="287"/>
    <n v="237"/>
    <n v="15"/>
    <n v="0"/>
    <n v="35"/>
    <n v="0"/>
    <n v="0"/>
    <n v="54"/>
    <n v="54"/>
    <n v="0"/>
    <n v="0"/>
    <n v="0"/>
    <n v="0"/>
    <n v="0"/>
    <n v="0.18447389775493644"/>
    <n v="0.8155261022450635"/>
    <n v="0"/>
    <x v="5"/>
    <n v="2254"/>
    <n v="0.89800796812749006"/>
    <n v="0.89800796812749006"/>
    <n v="1092"/>
    <n v="996"/>
    <n v="68"/>
    <n v="0"/>
    <n v="28"/>
    <n v="0"/>
    <n v="0"/>
    <n v="35"/>
    <n v="35"/>
    <n v="0"/>
    <n v="0"/>
    <n v="0"/>
    <n v="0"/>
    <n v="0"/>
    <n v="0.60968352718420338"/>
    <n v="0.39031647281579662"/>
    <n v="128"/>
    <x v="5"/>
    <n v="2802"/>
    <n v="0.95241332426920466"/>
    <n v="0.95241332426920466"/>
    <n v="1317"/>
    <n v="1197"/>
    <n v="55"/>
    <n v="42"/>
    <n v="16"/>
    <n v="7"/>
    <n v="0"/>
    <n v="84"/>
    <n v="15"/>
    <n v="0"/>
    <n v="18"/>
    <n v="15"/>
    <n v="0"/>
    <n v="0"/>
    <n v="36"/>
    <n v="0.75791182039491478"/>
    <n v="0.24208817960508522"/>
    <n v="70"/>
    <x v="5"/>
    <n v="1260"/>
    <n v="1"/>
    <n v="1"/>
    <n v="204"/>
    <n v="0"/>
    <n v="0"/>
    <n v="204"/>
    <n v="0"/>
    <n v="0"/>
    <n v="426"/>
    <n v="0"/>
    <n v="184"/>
    <n v="193"/>
    <n v="0"/>
    <n v="0"/>
    <n v="11"/>
    <n v="38"/>
    <n v="0.34081687855017584"/>
    <n v="0.65918312144982416"/>
    <n v="0"/>
    <m/>
  </r>
  <r>
    <x v="6"/>
    <n v="7"/>
    <n v="1349"/>
    <x v="6"/>
    <n v="942"/>
    <n v="407"/>
    <n v="11"/>
    <n v="17"/>
    <n v="0"/>
    <n v="379"/>
    <n v="0"/>
    <n v="0"/>
    <n v="64"/>
    <n v="0"/>
    <n v="0"/>
    <n v="22"/>
    <n v="0"/>
    <n v="0"/>
    <n v="42"/>
    <n v="0.69829503335804299"/>
    <n v="0.30170496664195701"/>
    <n v="6"/>
    <x v="6"/>
    <n v="668"/>
    <n v="0.91758241758241754"/>
    <n v="0.91758241758241754"/>
    <n v="268"/>
    <n v="38"/>
    <n v="30"/>
    <n v="0"/>
    <n v="200"/>
    <n v="0"/>
    <n v="0"/>
    <n v="66"/>
    <n v="0"/>
    <n v="0"/>
    <n v="18"/>
    <n v="0"/>
    <n v="0"/>
    <n v="48"/>
    <n v="0.49518161601186061"/>
    <n v="0.50481838398813939"/>
    <n v="30"/>
    <x v="6"/>
    <n v="556"/>
    <n v="0.80579710144927541"/>
    <n v="0.80579710144927541"/>
    <n v="200"/>
    <n v="67"/>
    <n v="0"/>
    <n v="0"/>
    <n v="133"/>
    <n v="0"/>
    <n v="0"/>
    <n v="78"/>
    <n v="0"/>
    <n v="8"/>
    <n v="0"/>
    <n v="50"/>
    <n v="8"/>
    <n v="0"/>
    <n v="12"/>
    <n v="0.41215715344699777"/>
    <n v="0.58784284655300223"/>
    <n v="67"/>
    <x v="6"/>
    <n v="326"/>
    <n v="1"/>
    <n v="1"/>
    <n v="43"/>
    <n v="9"/>
    <n v="0"/>
    <n v="34"/>
    <n v="0"/>
    <n v="0"/>
    <n v="120"/>
    <n v="0"/>
    <n v="0"/>
    <n v="15"/>
    <n v="86"/>
    <n v="0"/>
    <n v="0"/>
    <n v="19"/>
    <n v="0.24166048925129727"/>
    <n v="0.75833951074870276"/>
    <n v="0"/>
    <m/>
  </r>
  <r>
    <x v="7"/>
    <n v="8"/>
    <n v="7996"/>
    <x v="7"/>
    <n v="2658"/>
    <n v="1096"/>
    <n v="655"/>
    <n v="12"/>
    <n v="0"/>
    <n v="429"/>
    <n v="0"/>
    <n v="0"/>
    <n v="233"/>
    <n v="12"/>
    <n v="0"/>
    <n v="0"/>
    <n v="0"/>
    <n v="0"/>
    <n v="221"/>
    <n v="0.33241620810405204"/>
    <n v="0.66758379189594796"/>
    <n v="70"/>
    <x v="7"/>
    <n v="3576"/>
    <n v="0.78940397350993374"/>
    <n v="0.78940397350993374"/>
    <n v="1717"/>
    <n v="1337"/>
    <n v="153"/>
    <n v="0"/>
    <n v="216"/>
    <n v="0"/>
    <n v="11"/>
    <n v="71"/>
    <n v="11"/>
    <n v="0"/>
    <n v="2"/>
    <n v="0"/>
    <n v="0"/>
    <n v="58"/>
    <n v="0.44722361180590298"/>
    <n v="0.55277638819409702"/>
    <n v="477"/>
    <x v="7"/>
    <n v="5638"/>
    <n v="0.89321926489226866"/>
    <n v="0.89321926489226866"/>
    <n v="2524"/>
    <n v="1961"/>
    <n v="120"/>
    <n v="56"/>
    <n v="360"/>
    <n v="27"/>
    <n v="0"/>
    <n v="295"/>
    <n v="48"/>
    <n v="0"/>
    <n v="1"/>
    <n v="87"/>
    <n v="17"/>
    <n v="27"/>
    <n v="115"/>
    <n v="0.70510255127563781"/>
    <n v="0.29489744872436219"/>
    <n v="337"/>
    <x v="7"/>
    <n v="2352"/>
    <n v="1"/>
    <n v="1"/>
    <n v="296"/>
    <n v="38"/>
    <n v="0"/>
    <n v="258"/>
    <n v="0"/>
    <n v="0"/>
    <n v="880"/>
    <n v="0"/>
    <n v="267"/>
    <n v="266"/>
    <n v="147"/>
    <n v="0"/>
    <n v="0"/>
    <n v="200"/>
    <n v="0.29414707353676839"/>
    <n v="0.70585292646323161"/>
    <n v="0"/>
    <m/>
  </r>
  <r>
    <x v="8"/>
    <n v="9"/>
    <n v="1702"/>
    <x v="8"/>
    <n v="520"/>
    <n v="246"/>
    <n v="122"/>
    <n v="6"/>
    <n v="0"/>
    <n v="118"/>
    <n v="0"/>
    <n v="0"/>
    <n v="14"/>
    <n v="0"/>
    <n v="5"/>
    <n v="0"/>
    <n v="0"/>
    <n v="0"/>
    <n v="9"/>
    <n v="0.30552291421856637"/>
    <n v="0.69447708578143363"/>
    <n v="71"/>
    <x v="8"/>
    <n v="462"/>
    <n v="0.62601626016260159"/>
    <n v="0.62601626016260159"/>
    <n v="218"/>
    <n v="139"/>
    <n v="9"/>
    <n v="0"/>
    <n v="70"/>
    <n v="0"/>
    <n v="0"/>
    <n v="13"/>
    <n v="13"/>
    <n v="0"/>
    <n v="0"/>
    <n v="0"/>
    <n v="0"/>
    <n v="0"/>
    <n v="0.27144535840188017"/>
    <n v="0.72855464159811989"/>
    <n v="138"/>
    <x v="8"/>
    <n v="1278"/>
    <n v="0.88997214484679665"/>
    <n v="0.88997214484679665"/>
    <n v="530"/>
    <n v="419"/>
    <n v="20"/>
    <n v="11"/>
    <n v="80"/>
    <n v="0"/>
    <n v="0"/>
    <n v="109"/>
    <n v="22"/>
    <n v="7"/>
    <n v="0"/>
    <n v="45"/>
    <n v="0"/>
    <n v="0"/>
    <n v="35"/>
    <n v="0.75088131609870745"/>
    <n v="0.24911868390129255"/>
    <n v="79"/>
    <x v="8"/>
    <n v="568"/>
    <n v="1"/>
    <n v="1"/>
    <n v="79"/>
    <n v="7"/>
    <n v="0"/>
    <n v="72"/>
    <n v="0"/>
    <n v="0"/>
    <n v="205"/>
    <n v="0"/>
    <n v="23"/>
    <n v="38"/>
    <n v="34"/>
    <n v="0"/>
    <n v="19"/>
    <n v="91"/>
    <n v="0.33372502937720327"/>
    <n v="0.66627497062279673"/>
    <n v="0"/>
    <m/>
  </r>
  <r>
    <x v="9"/>
    <n v="10"/>
    <n v="8667"/>
    <x v="9"/>
    <n v="1290"/>
    <n v="618"/>
    <n v="438"/>
    <n v="29"/>
    <n v="0"/>
    <n v="149"/>
    <n v="2"/>
    <n v="0"/>
    <n v="27"/>
    <n v="0"/>
    <n v="0"/>
    <n v="0"/>
    <n v="0"/>
    <n v="0"/>
    <n v="27"/>
    <n v="0.14884042921426099"/>
    <n v="0.85115957078573901"/>
    <n v="25"/>
    <x v="9"/>
    <n v="7354"/>
    <n v="0.83208870785245526"/>
    <n v="0.83208870785245526"/>
    <n v="3480"/>
    <n v="2853"/>
    <n v="442"/>
    <n v="0"/>
    <n v="138"/>
    <n v="47"/>
    <n v="0"/>
    <n v="197"/>
    <n v="121"/>
    <n v="0"/>
    <n v="35"/>
    <n v="11"/>
    <n v="0"/>
    <n v="30"/>
    <n v="0.84850582669897312"/>
    <n v="0.15149417330102688"/>
    <n v="742"/>
    <x v="9"/>
    <n v="4440"/>
    <n v="0.89407974224728148"/>
    <n v="0.89407974224728148"/>
    <n v="1987"/>
    <n v="1456"/>
    <n v="247"/>
    <n v="59"/>
    <n v="212"/>
    <n v="7"/>
    <n v="6"/>
    <n v="233"/>
    <n v="48"/>
    <n v="5"/>
    <n v="10"/>
    <n v="73"/>
    <n v="28"/>
    <n v="0"/>
    <n v="69"/>
    <n v="0.51228798892350291"/>
    <n v="0.48771201107649709"/>
    <n v="263"/>
    <x v="9"/>
    <n v="2190"/>
    <n v="1"/>
    <n v="1"/>
    <n v="264"/>
    <n v="22"/>
    <n v="0"/>
    <n v="237"/>
    <n v="0"/>
    <n v="5"/>
    <n v="831"/>
    <n v="0"/>
    <n v="197"/>
    <n v="297"/>
    <n v="104"/>
    <n v="3"/>
    <n v="5"/>
    <n v="225"/>
    <n v="0.25268258913118724"/>
    <n v="0.74731741086881276"/>
    <n v="0"/>
    <m/>
  </r>
  <r>
    <x v="10"/>
    <n v="11"/>
    <n v="3951"/>
    <x v="10"/>
    <n v="142"/>
    <n v="66"/>
    <n v="53"/>
    <n v="13"/>
    <n v="0"/>
    <n v="0"/>
    <n v="0"/>
    <n v="0"/>
    <n v="5"/>
    <n v="0"/>
    <n v="0"/>
    <n v="0"/>
    <n v="0"/>
    <n v="0"/>
    <n v="5"/>
    <n v="3.5940268286509744E-2"/>
    <n v="0.96405973171349024"/>
    <n v="0"/>
    <x v="10"/>
    <n v="6910"/>
    <n v="0.97516229184307079"/>
    <n v="0.97516229184307079"/>
    <n v="3361"/>
    <n v="2585"/>
    <n v="630"/>
    <n v="9"/>
    <n v="69"/>
    <n v="62"/>
    <n v="6"/>
    <n v="94"/>
    <n v="36"/>
    <n v="0"/>
    <n v="0"/>
    <n v="44"/>
    <n v="0"/>
    <n v="14"/>
    <n v="1.7489243229562137"/>
    <n v="-0.74892432295621369"/>
    <n v="88"/>
    <x v="10"/>
    <n v="308"/>
    <n v="0.6905829596412556"/>
    <n v="0.6905829596412556"/>
    <n v="129"/>
    <n v="92"/>
    <n v="0"/>
    <n v="15"/>
    <n v="22"/>
    <n v="0"/>
    <n v="0"/>
    <n v="25"/>
    <n v="0"/>
    <n v="0"/>
    <n v="0"/>
    <n v="2"/>
    <n v="0"/>
    <n v="0"/>
    <n v="23"/>
    <n v="7.7954948114401415E-2"/>
    <n v="0.9220450518855986"/>
    <n v="69"/>
    <x v="10"/>
    <n v="228"/>
    <n v="1"/>
    <n v="1"/>
    <n v="48"/>
    <n v="30"/>
    <n v="0"/>
    <n v="18"/>
    <n v="0"/>
    <n v="0"/>
    <n v="66"/>
    <n v="0"/>
    <n v="25"/>
    <n v="25"/>
    <n v="4"/>
    <n v="0"/>
    <n v="0"/>
    <n v="12"/>
    <n v="5.7706909643128322E-2"/>
    <n v="0.9422930903568717"/>
    <n v="0"/>
    <m/>
  </r>
  <r>
    <x v="11"/>
    <n v="12"/>
    <n v="915"/>
    <x v="11"/>
    <n v="498"/>
    <n v="171"/>
    <n v="133"/>
    <n v="0"/>
    <n v="0"/>
    <n v="38"/>
    <n v="0"/>
    <n v="0"/>
    <n v="78"/>
    <n v="0"/>
    <n v="0"/>
    <n v="0"/>
    <n v="0"/>
    <n v="0"/>
    <n v="78"/>
    <n v="0.54426229508196722"/>
    <n v="0.45573770491803278"/>
    <n v="0"/>
    <x v="11"/>
    <n v="410"/>
    <n v="0.95348837209302328"/>
    <n v="0.95348837209302328"/>
    <n v="205"/>
    <n v="171"/>
    <n v="14"/>
    <n v="0"/>
    <n v="14"/>
    <n v="6"/>
    <n v="0"/>
    <n v="0"/>
    <n v="0"/>
    <n v="0"/>
    <n v="0"/>
    <n v="0"/>
    <n v="0"/>
    <n v="0"/>
    <n v="0.44808743169398907"/>
    <n v="0.55191256830601088"/>
    <n v="10"/>
    <x v="11"/>
    <n v="626"/>
    <n v="0.91520467836257313"/>
    <n v="0.91520467836257313"/>
    <n v="307"/>
    <n v="278"/>
    <n v="22"/>
    <n v="0"/>
    <n v="7"/>
    <n v="0"/>
    <n v="0"/>
    <n v="6"/>
    <n v="4"/>
    <n v="0"/>
    <n v="0"/>
    <n v="0"/>
    <n v="0"/>
    <n v="0"/>
    <n v="2"/>
    <n v="0.68415300546448088"/>
    <n v="0.31584699453551912"/>
    <n v="29"/>
    <x v="11"/>
    <n v="218"/>
    <n v="1"/>
    <n v="1"/>
    <n v="11"/>
    <n v="0"/>
    <n v="0"/>
    <n v="11"/>
    <n v="0"/>
    <n v="0"/>
    <n v="98"/>
    <n v="0"/>
    <n v="36"/>
    <n v="21"/>
    <n v="0"/>
    <n v="0"/>
    <n v="0"/>
    <n v="41"/>
    <n v="0.23825136612021858"/>
    <n v="0.76174863387978142"/>
    <n v="0"/>
    <m/>
  </r>
  <r>
    <x v="12"/>
    <n v="13"/>
    <n v="7361"/>
    <x v="12"/>
    <n v="2750"/>
    <n v="1132"/>
    <n v="449"/>
    <n v="172"/>
    <n v="0"/>
    <n v="511"/>
    <n v="0"/>
    <n v="0"/>
    <n v="243"/>
    <n v="74"/>
    <n v="0"/>
    <n v="0"/>
    <n v="0"/>
    <n v="0"/>
    <n v="169"/>
    <n v="0.37359054476293979"/>
    <n v="0.62640945523706026"/>
    <n v="50"/>
    <x v="12"/>
    <n v="3008"/>
    <n v="0.89099526066350709"/>
    <n v="0.89099526066350709"/>
    <n v="1304"/>
    <n v="1005"/>
    <n v="77"/>
    <n v="0"/>
    <n v="212"/>
    <n v="0"/>
    <n v="10"/>
    <n v="200"/>
    <n v="74"/>
    <n v="0"/>
    <n v="17"/>
    <n v="0"/>
    <n v="0"/>
    <n v="109"/>
    <n v="0.40864013041706287"/>
    <n v="0.59135986958293718"/>
    <n v="184"/>
    <x v="12"/>
    <n v="5414"/>
    <n v="0.88550866862937516"/>
    <n v="0.88550866862937516"/>
    <n v="2393"/>
    <n v="1839"/>
    <n v="288"/>
    <n v="23"/>
    <n v="217"/>
    <n v="0"/>
    <n v="26"/>
    <n v="314"/>
    <n v="67"/>
    <n v="28"/>
    <n v="0"/>
    <n v="84"/>
    <n v="10"/>
    <n v="16"/>
    <n v="109"/>
    <n v="0.73549789430783863"/>
    <n v="0.26450210569216137"/>
    <n v="350"/>
    <x v="12"/>
    <n v="2382"/>
    <n v="1"/>
    <n v="1"/>
    <n v="293"/>
    <n v="8"/>
    <n v="0"/>
    <n v="285"/>
    <n v="0"/>
    <n v="0"/>
    <n v="898"/>
    <n v="0"/>
    <n v="217"/>
    <n v="282"/>
    <n v="101"/>
    <n v="0"/>
    <n v="20"/>
    <n v="278"/>
    <n v="0.32359733731829915"/>
    <n v="0.67640266268170079"/>
    <n v="0"/>
    <m/>
  </r>
  <r>
    <x v="13"/>
    <n v="14"/>
    <n v="13150"/>
    <x v="13"/>
    <n v="4630"/>
    <n v="2239"/>
    <n v="1137"/>
    <n v="105"/>
    <n v="11"/>
    <n v="937"/>
    <n v="49"/>
    <n v="0"/>
    <n v="76"/>
    <n v="10"/>
    <n v="0"/>
    <n v="0"/>
    <n v="0"/>
    <n v="0"/>
    <n v="66"/>
    <n v="0.35209125475285169"/>
    <n v="0.64790874524714837"/>
    <n v="217"/>
    <x v="13"/>
    <n v="5432"/>
    <n v="0.85597226599432719"/>
    <n v="0.85597226599432719"/>
    <n v="2579"/>
    <n v="2099"/>
    <n v="156"/>
    <n v="14"/>
    <n v="291"/>
    <n v="0"/>
    <n v="19"/>
    <n v="137"/>
    <n v="28"/>
    <n v="0"/>
    <n v="56"/>
    <n v="9"/>
    <n v="0"/>
    <n v="44"/>
    <n v="0.41307984790874525"/>
    <n v="0.58692015209125481"/>
    <n v="457"/>
    <x v="13"/>
    <n v="9898"/>
    <n v="0.89428984459703653"/>
    <n v="0.89428984459703653"/>
    <n v="4605"/>
    <n v="3671"/>
    <n v="287"/>
    <n v="102"/>
    <n v="384"/>
    <n v="55"/>
    <n v="106"/>
    <n v="344"/>
    <n v="109"/>
    <n v="16"/>
    <n v="20"/>
    <n v="76"/>
    <n v="17"/>
    <n v="12"/>
    <n v="94"/>
    <n v="0.75269961977186317"/>
    <n v="0.24730038022813683"/>
    <n v="585"/>
    <x v="13"/>
    <n v="3822"/>
    <n v="1"/>
    <n v="1"/>
    <n v="339"/>
    <n v="40"/>
    <n v="0"/>
    <n v="299"/>
    <n v="0"/>
    <n v="0"/>
    <n v="1572"/>
    <n v="0"/>
    <n v="356"/>
    <n v="559"/>
    <n v="92"/>
    <n v="0"/>
    <n v="67"/>
    <n v="498"/>
    <n v="0.29064638783269964"/>
    <n v="0.70935361216730031"/>
    <n v="0"/>
    <m/>
  </r>
  <r>
    <x v="14"/>
    <n v="15"/>
    <n v="795"/>
    <x v="14"/>
    <n v="372"/>
    <n v="179"/>
    <n v="47"/>
    <n v="0"/>
    <n v="0"/>
    <n v="132"/>
    <n v="0"/>
    <n v="0"/>
    <n v="7"/>
    <n v="0"/>
    <n v="0"/>
    <n v="0"/>
    <n v="0"/>
    <n v="0"/>
    <n v="7"/>
    <n v="0.4679245283018868"/>
    <n v="0.5320754716981132"/>
    <n v="0"/>
    <x v="14"/>
    <n v="366"/>
    <n v="0.75619834710743805"/>
    <n v="0.75619834710743805"/>
    <n v="130"/>
    <n v="68"/>
    <n v="0"/>
    <n v="0"/>
    <n v="62"/>
    <n v="0"/>
    <n v="0"/>
    <n v="53"/>
    <n v="0"/>
    <n v="0"/>
    <n v="29"/>
    <n v="21"/>
    <n v="0"/>
    <n v="3"/>
    <n v="0.46037735849056605"/>
    <n v="0.53962264150943395"/>
    <n v="59"/>
    <x v="14"/>
    <n v="412"/>
    <n v="0.70307167235494883"/>
    <n v="0.70307167235494883"/>
    <n v="182"/>
    <n v="79"/>
    <n v="20"/>
    <n v="16"/>
    <n v="67"/>
    <n v="0"/>
    <n v="0"/>
    <n v="24"/>
    <n v="0"/>
    <n v="0"/>
    <n v="4"/>
    <n v="14"/>
    <n v="0"/>
    <n v="6"/>
    <n v="0"/>
    <n v="0.51823899371069182"/>
    <n v="0.48176100628930818"/>
    <n v="87"/>
    <x v="14"/>
    <n v="148"/>
    <n v="1"/>
    <n v="1"/>
    <n v="28"/>
    <n v="6"/>
    <n v="0"/>
    <n v="18"/>
    <n v="0"/>
    <n v="4"/>
    <n v="46"/>
    <n v="0"/>
    <n v="7"/>
    <n v="10"/>
    <n v="20"/>
    <n v="0"/>
    <n v="5"/>
    <n v="4"/>
    <n v="0.1861635220125786"/>
    <n v="0.81383647798742142"/>
    <n v="0"/>
    <m/>
  </r>
  <r>
    <x v="15"/>
    <n v="16"/>
    <n v="10111"/>
    <x v="15"/>
    <n v="4186"/>
    <n v="1984"/>
    <n v="446"/>
    <n v="51"/>
    <n v="0"/>
    <n v="1487"/>
    <n v="0"/>
    <n v="0"/>
    <n v="109"/>
    <n v="1"/>
    <n v="0"/>
    <n v="20"/>
    <n v="0"/>
    <n v="0"/>
    <n v="88"/>
    <n v="0.41400454950054394"/>
    <n v="0.58599545049945601"/>
    <n v="24"/>
    <x v="15"/>
    <n v="3892"/>
    <n v="0.76343664182032167"/>
    <n v="0.76343664182032167"/>
    <n v="1885"/>
    <n v="1208"/>
    <n v="137"/>
    <n v="0"/>
    <n v="540"/>
    <n v="0"/>
    <n v="0"/>
    <n v="61"/>
    <n v="0"/>
    <n v="0"/>
    <n v="36"/>
    <n v="0"/>
    <n v="0"/>
    <n v="25"/>
    <n v="0.38492730689348237"/>
    <n v="0.61507269310651758"/>
    <n v="603"/>
    <x v="15"/>
    <n v="7294"/>
    <n v="0.91152211947013251"/>
    <n v="0.91152211947013251"/>
    <n v="3155"/>
    <n v="2312"/>
    <n v="212"/>
    <n v="33"/>
    <n v="499"/>
    <n v="0"/>
    <n v="99"/>
    <n v="492"/>
    <n v="37"/>
    <n v="30"/>
    <n v="20"/>
    <n v="182"/>
    <n v="1"/>
    <n v="32"/>
    <n v="190"/>
    <n v="0.72139254277519538"/>
    <n v="0.27860745722480462"/>
    <n v="354"/>
    <x v="15"/>
    <n v="2842"/>
    <n v="0.98407202216066481"/>
    <n v="0.98407202216066481"/>
    <n v="233"/>
    <n v="67"/>
    <n v="0"/>
    <n v="166"/>
    <n v="0"/>
    <n v="0"/>
    <n v="1188"/>
    <n v="0"/>
    <n v="270"/>
    <n v="468"/>
    <n v="107"/>
    <n v="0"/>
    <n v="15"/>
    <n v="328"/>
    <n v="0.28108001186826231"/>
    <n v="0.71891998813173763"/>
    <n v="23"/>
    <m/>
  </r>
  <r>
    <x v="16"/>
    <n v="17"/>
    <n v="4060"/>
    <x v="16"/>
    <n v="138"/>
    <n v="69"/>
    <n v="57"/>
    <n v="0"/>
    <n v="0"/>
    <n v="12"/>
    <n v="0"/>
    <n v="0"/>
    <n v="0"/>
    <n v="0"/>
    <n v="0"/>
    <n v="0"/>
    <n v="0"/>
    <n v="0"/>
    <n v="0"/>
    <n v="3.3990147783251233E-2"/>
    <n v="0.96600985221674873"/>
    <n v="0"/>
    <x v="16"/>
    <n v="4452"/>
    <n v="0.92749999999999999"/>
    <n v="0.92749999999999999"/>
    <n v="2104"/>
    <n v="1670"/>
    <n v="360"/>
    <n v="0"/>
    <n v="67"/>
    <n v="7"/>
    <n v="0"/>
    <n v="122"/>
    <n v="70"/>
    <n v="0"/>
    <n v="13"/>
    <n v="10"/>
    <n v="0"/>
    <n v="29"/>
    <n v="1.096551724137931"/>
    <n v="-9.6551724137931005E-2"/>
    <n v="174"/>
    <x v="16"/>
    <n v="2094"/>
    <n v="0.8857868020304569"/>
    <n v="0.8857868020304569"/>
    <n v="928"/>
    <n v="757"/>
    <n v="132"/>
    <n v="0"/>
    <n v="39"/>
    <n v="0"/>
    <n v="0"/>
    <n v="119"/>
    <n v="44"/>
    <n v="0"/>
    <n v="0"/>
    <n v="38"/>
    <n v="0"/>
    <n v="11"/>
    <n v="26"/>
    <n v="0.5157635467980296"/>
    <n v="0.4842364532019704"/>
    <n v="135"/>
    <x v="16"/>
    <n v="818"/>
    <n v="1"/>
    <n v="1"/>
    <n v="89"/>
    <n v="9"/>
    <n v="0"/>
    <n v="71"/>
    <n v="0"/>
    <n v="9"/>
    <n v="320"/>
    <n v="0"/>
    <n v="35"/>
    <n v="126"/>
    <n v="42"/>
    <n v="0"/>
    <n v="11"/>
    <n v="106"/>
    <n v="0.20147783251231527"/>
    <n v="0.79852216748768479"/>
    <n v="0"/>
    <m/>
  </r>
  <r>
    <x v="17"/>
    <n v="18"/>
    <n v="4598"/>
    <x v="17"/>
    <n v="676"/>
    <n v="325"/>
    <n v="137"/>
    <n v="21"/>
    <n v="0"/>
    <n v="167"/>
    <n v="0"/>
    <n v="0"/>
    <n v="13"/>
    <n v="13"/>
    <n v="0"/>
    <n v="0"/>
    <n v="0"/>
    <n v="0"/>
    <n v="0"/>
    <n v="0.14702044367116138"/>
    <n v="0.8529795563288386"/>
    <n v="29"/>
    <x v="17"/>
    <n v="3064"/>
    <n v="0.83351468988030464"/>
    <n v="0.83351468988030464"/>
    <n v="1449"/>
    <n v="1242"/>
    <n v="128"/>
    <n v="0"/>
    <n v="79"/>
    <n v="0"/>
    <n v="0"/>
    <n v="83"/>
    <n v="28"/>
    <n v="0"/>
    <n v="1"/>
    <n v="0"/>
    <n v="0"/>
    <n v="54"/>
    <n v="0.66637668551544149"/>
    <n v="0.33362331448455851"/>
    <n v="306"/>
    <x v="17"/>
    <n v="3064"/>
    <n v="0.88606130711393871"/>
    <n v="0.88606130711393871"/>
    <n v="1419"/>
    <n v="1072"/>
    <n v="122"/>
    <n v="41"/>
    <n v="184"/>
    <n v="0"/>
    <n v="0"/>
    <n v="113"/>
    <n v="41"/>
    <n v="4"/>
    <n v="8"/>
    <n v="18"/>
    <n v="0"/>
    <n v="0"/>
    <n v="42"/>
    <n v="0.66637668551544149"/>
    <n v="0.33362331448455851"/>
    <n v="197"/>
    <x v="17"/>
    <n v="1328"/>
    <n v="1"/>
    <n v="1"/>
    <n v="230"/>
    <n v="50"/>
    <n v="0"/>
    <n v="180"/>
    <n v="0"/>
    <n v="0"/>
    <n v="434"/>
    <n v="0"/>
    <n v="98"/>
    <n v="134"/>
    <n v="73"/>
    <n v="0"/>
    <n v="28"/>
    <n v="101"/>
    <n v="0.28882122662026966"/>
    <n v="0.71117877337973034"/>
    <n v="0"/>
    <m/>
  </r>
  <r>
    <x v="18"/>
    <n v="19"/>
    <n v="2887"/>
    <x v="18"/>
    <n v="1088"/>
    <n v="442"/>
    <n v="44"/>
    <n v="28"/>
    <n v="0"/>
    <n v="370"/>
    <n v="0"/>
    <n v="0"/>
    <n v="102"/>
    <n v="14"/>
    <n v="0"/>
    <n v="0"/>
    <n v="0"/>
    <n v="0"/>
    <n v="88"/>
    <n v="0.37686179425008659"/>
    <n v="0.62313820574991341"/>
    <n v="4"/>
    <x v="18"/>
    <n v="1498"/>
    <n v="0.90024038461538458"/>
    <n v="0.90024038461538458"/>
    <n v="655"/>
    <n v="491"/>
    <n v="61"/>
    <n v="0"/>
    <n v="103"/>
    <n v="0"/>
    <n v="0"/>
    <n v="94"/>
    <n v="6"/>
    <n v="0"/>
    <n v="0"/>
    <n v="0"/>
    <n v="0"/>
    <n v="88"/>
    <n v="0.51887772774506413"/>
    <n v="0.48112227225493587"/>
    <n v="83"/>
    <x v="18"/>
    <n v="1910"/>
    <n v="0.88672237697307332"/>
    <n v="0.88672237697307332"/>
    <n v="800"/>
    <n v="519"/>
    <n v="103"/>
    <n v="5"/>
    <n v="156"/>
    <n v="0"/>
    <n v="17"/>
    <n v="155"/>
    <n v="63"/>
    <n v="10"/>
    <n v="0"/>
    <n v="4"/>
    <n v="0"/>
    <n v="0"/>
    <n v="78"/>
    <n v="0.66158642189123662"/>
    <n v="0.33841357810876338"/>
    <n v="122"/>
    <x v="18"/>
    <n v="860"/>
    <n v="1"/>
    <n v="1"/>
    <n v="78"/>
    <n v="9"/>
    <n v="0"/>
    <n v="69"/>
    <n v="0"/>
    <n v="0"/>
    <n v="352"/>
    <n v="0"/>
    <n v="69"/>
    <n v="61"/>
    <n v="129"/>
    <n v="0"/>
    <n v="10"/>
    <n v="83"/>
    <n v="0.29788708001385522"/>
    <n v="0.70211291998614478"/>
    <n v="0"/>
    <m/>
  </r>
  <r>
    <x v="19"/>
    <n v="20"/>
    <n v="5822"/>
    <x v="19"/>
    <n v="62"/>
    <n v="23"/>
    <n v="12"/>
    <n v="11"/>
    <n v="0"/>
    <n v="0"/>
    <n v="0"/>
    <n v="0"/>
    <n v="8"/>
    <n v="0"/>
    <n v="0"/>
    <n v="0"/>
    <n v="8"/>
    <n v="0"/>
    <n v="0"/>
    <n v="1.0649261422191686E-2"/>
    <n v="0.98935073857780831"/>
    <n v="25"/>
    <x v="19"/>
    <n v="9772"/>
    <n v="0.95280811232449303"/>
    <n v="0.95280811232449303"/>
    <n v="4656"/>
    <n v="3948"/>
    <n v="555"/>
    <n v="0"/>
    <n v="58"/>
    <n v="80"/>
    <n v="15"/>
    <n v="230"/>
    <n v="199"/>
    <n v="0"/>
    <n v="0"/>
    <n v="8"/>
    <n v="0"/>
    <n v="23"/>
    <n v="1.6784610099622124"/>
    <n v="-0.67846100996221237"/>
    <n v="242"/>
    <x v="19"/>
    <n v="662"/>
    <n v="0.76443418013856812"/>
    <n v="0.76443418013856812"/>
    <n v="261"/>
    <n v="160"/>
    <n v="63"/>
    <n v="0"/>
    <n v="38"/>
    <n v="0"/>
    <n v="0"/>
    <n v="70"/>
    <n v="37"/>
    <n v="0"/>
    <n v="16"/>
    <n v="5"/>
    <n v="0"/>
    <n v="0"/>
    <n v="12"/>
    <n v="0.11370663002404673"/>
    <n v="0.88629336997595332"/>
    <n v="102"/>
    <x v="19"/>
    <n v="410"/>
    <n v="1"/>
    <n v="1"/>
    <n v="79"/>
    <n v="12"/>
    <n v="10"/>
    <n v="57"/>
    <n v="0"/>
    <n v="0"/>
    <n v="126"/>
    <n v="0"/>
    <n v="13"/>
    <n v="60"/>
    <n v="0"/>
    <n v="0"/>
    <n v="0"/>
    <n v="53"/>
    <n v="7.0422535211267609E-2"/>
    <n v="0.92957746478873238"/>
    <n v="0"/>
    <m/>
  </r>
  <r>
    <x v="20"/>
    <n v="21"/>
    <n v="560"/>
    <x v="20"/>
    <n v="180"/>
    <n v="90"/>
    <n v="0"/>
    <n v="0"/>
    <n v="0"/>
    <n v="90"/>
    <n v="0"/>
    <n v="0"/>
    <n v="0"/>
    <n v="0"/>
    <n v="0"/>
    <n v="0"/>
    <n v="0"/>
    <n v="0"/>
    <n v="0"/>
    <n v="0.32142857142857145"/>
    <n v="0.6785714285714286"/>
    <n v="0"/>
    <x v="20"/>
    <n v="86"/>
    <n v="0.65151515151515149"/>
    <n v="0.65151515151515149"/>
    <n v="43"/>
    <n v="7"/>
    <n v="0"/>
    <n v="0"/>
    <n v="36"/>
    <n v="0"/>
    <n v="0"/>
    <n v="0"/>
    <n v="0"/>
    <n v="0"/>
    <n v="0"/>
    <n v="0"/>
    <n v="0"/>
    <n v="0"/>
    <n v="0.15357142857142858"/>
    <n v="0.84642857142857142"/>
    <n v="23"/>
    <x v="20"/>
    <n v="406"/>
    <n v="0.871244635193133"/>
    <n v="0.871244635193133"/>
    <n v="192"/>
    <n v="140"/>
    <n v="28"/>
    <n v="0"/>
    <n v="24"/>
    <n v="0"/>
    <n v="0"/>
    <n v="11"/>
    <n v="0"/>
    <n v="0"/>
    <n v="0"/>
    <n v="0"/>
    <n v="0"/>
    <n v="11"/>
    <n v="0"/>
    <n v="0.72499999999999998"/>
    <n v="0.27500000000000002"/>
    <n v="30"/>
    <x v="3"/>
    <n v="342"/>
    <n v="1"/>
    <n v="1"/>
    <n v="8"/>
    <n v="0"/>
    <n v="0"/>
    <n v="8"/>
    <n v="0"/>
    <n v="0"/>
    <n v="163"/>
    <n v="0"/>
    <n v="68"/>
    <n v="19"/>
    <n v="25"/>
    <n v="0"/>
    <n v="8"/>
    <n v="43"/>
    <n v="0.61071428571428577"/>
    <n v="0.38928571428571423"/>
    <n v="0"/>
    <m/>
  </r>
  <r>
    <x v="21"/>
    <n v="22"/>
    <n v="3"/>
    <x v="21"/>
    <n v="0"/>
    <n v="0"/>
    <n v="0"/>
    <n v="0"/>
    <n v="0"/>
    <n v="0"/>
    <n v="0"/>
    <n v="0"/>
    <n v="0"/>
    <n v="0"/>
    <n v="0"/>
    <n v="0"/>
    <n v="0"/>
    <n v="0"/>
    <n v="0"/>
    <n v="0"/>
    <n v="1"/>
    <n v="0"/>
    <x v="21"/>
    <n v="0"/>
    <e v="#DIV/0!"/>
    <n v="0"/>
    <n v="0"/>
    <n v="0"/>
    <n v="0"/>
    <n v="0"/>
    <n v="0"/>
    <n v="0"/>
    <n v="0"/>
    <n v="0"/>
    <n v="0"/>
    <n v="0"/>
    <n v="0"/>
    <n v="0"/>
    <n v="0"/>
    <n v="0"/>
    <n v="0"/>
    <n v="1"/>
    <n v="0"/>
    <x v="21"/>
    <n v="0"/>
    <e v="#DIV/0!"/>
    <n v="0"/>
    <n v="0"/>
    <n v="0"/>
    <n v="0"/>
    <n v="0"/>
    <n v="0"/>
    <n v="0"/>
    <n v="0"/>
    <n v="0"/>
    <n v="0"/>
    <n v="0"/>
    <n v="0"/>
    <n v="0"/>
    <n v="0"/>
    <n v="0"/>
    <n v="0"/>
    <n v="0"/>
    <n v="1"/>
    <n v="0"/>
    <x v="20"/>
    <n v="6"/>
    <n v="1"/>
    <n v="1"/>
    <n v="0"/>
    <n v="0"/>
    <n v="0"/>
    <n v="0"/>
    <n v="0"/>
    <n v="0"/>
    <n v="3"/>
    <n v="0"/>
    <n v="0"/>
    <n v="3"/>
    <n v="0"/>
    <n v="0"/>
    <n v="0"/>
    <n v="0"/>
    <n v="2"/>
    <n v="-1"/>
    <n v="0"/>
    <m/>
  </r>
  <r>
    <x v="22"/>
    <n v="23"/>
    <n v="3964"/>
    <x v="22"/>
    <n v="1960"/>
    <n v="803"/>
    <n v="274"/>
    <n v="46"/>
    <n v="0"/>
    <n v="483"/>
    <n v="0"/>
    <n v="0"/>
    <n v="177"/>
    <n v="0"/>
    <n v="0"/>
    <n v="22"/>
    <n v="0"/>
    <n v="0"/>
    <n v="155"/>
    <n v="0.4944500504540868"/>
    <n v="0.50554994954591326"/>
    <n v="18"/>
    <x v="22"/>
    <n v="1644"/>
    <n v="0.8244734202607823"/>
    <n v="0.8244734202607823"/>
    <n v="773"/>
    <n v="553"/>
    <n v="38"/>
    <n v="0"/>
    <n v="182"/>
    <n v="0"/>
    <n v="0"/>
    <n v="49"/>
    <n v="0"/>
    <n v="0"/>
    <n v="28"/>
    <n v="0"/>
    <n v="0"/>
    <n v="21"/>
    <n v="0.41473259334006052"/>
    <n v="0.58526740665993948"/>
    <n v="175"/>
    <x v="22"/>
    <n v="2564"/>
    <n v="0.89213639526791932"/>
    <n v="0.89213639526791932"/>
    <n v="1158"/>
    <n v="948"/>
    <n v="92"/>
    <n v="15"/>
    <n v="90"/>
    <n v="0"/>
    <n v="13"/>
    <n v="124"/>
    <n v="38"/>
    <n v="4"/>
    <n v="0"/>
    <n v="6"/>
    <n v="0"/>
    <n v="0"/>
    <n v="76"/>
    <n v="0.64682139253279514"/>
    <n v="0.35317860746720486"/>
    <n v="155"/>
    <x v="21"/>
    <n v="1064"/>
    <n v="1"/>
    <n v="1"/>
    <n v="88"/>
    <n v="20"/>
    <n v="0"/>
    <n v="68"/>
    <n v="0"/>
    <n v="0"/>
    <n v="444"/>
    <n v="0"/>
    <n v="94"/>
    <n v="174"/>
    <n v="53"/>
    <n v="0"/>
    <n v="23"/>
    <n v="100"/>
    <n v="0.2684157416750757"/>
    <n v="0.73158425832492435"/>
    <n v="0"/>
    <m/>
  </r>
  <r>
    <x v="23"/>
    <n v="24"/>
    <n v="2225"/>
    <x v="23"/>
    <n v="840"/>
    <n v="304"/>
    <n v="59"/>
    <n v="7"/>
    <n v="0"/>
    <n v="238"/>
    <n v="0"/>
    <n v="0"/>
    <n v="116"/>
    <n v="10"/>
    <n v="0"/>
    <n v="0"/>
    <n v="0"/>
    <n v="0"/>
    <n v="106"/>
    <n v="0.37752808988764047"/>
    <n v="0.62247191011235947"/>
    <n v="0"/>
    <x v="23"/>
    <n v="846"/>
    <n v="0.826171875"/>
    <n v="0.826171875"/>
    <n v="373"/>
    <n v="195"/>
    <n v="31"/>
    <n v="0"/>
    <n v="147"/>
    <n v="0"/>
    <n v="0"/>
    <n v="50"/>
    <n v="0"/>
    <n v="0"/>
    <n v="0"/>
    <n v="0"/>
    <n v="0"/>
    <n v="50"/>
    <n v="0.3802247191011236"/>
    <n v="0.61977528089887635"/>
    <n v="89"/>
    <x v="23"/>
    <n v="1082"/>
    <n v="0.72715053763440862"/>
    <n v="0.72715053763440862"/>
    <n v="367"/>
    <n v="217"/>
    <n v="19"/>
    <n v="52"/>
    <n v="79"/>
    <n v="0"/>
    <n v="0"/>
    <n v="174"/>
    <n v="9"/>
    <n v="10"/>
    <n v="8"/>
    <n v="87"/>
    <n v="0"/>
    <n v="6"/>
    <n v="54"/>
    <n v="0.48629213483146067"/>
    <n v="0.51370786516853939"/>
    <n v="203"/>
    <x v="22"/>
    <n v="1098"/>
    <n v="1"/>
    <n v="1"/>
    <n v="208"/>
    <n v="30"/>
    <n v="0"/>
    <n v="178"/>
    <n v="0"/>
    <n v="0"/>
    <n v="341"/>
    <n v="0"/>
    <n v="75"/>
    <n v="75"/>
    <n v="55"/>
    <n v="0"/>
    <n v="17"/>
    <n v="119"/>
    <n v="0.49348314606741572"/>
    <n v="0.50651685393258428"/>
    <n v="0"/>
    <m/>
  </r>
  <r>
    <x v="24"/>
    <n v="25"/>
    <n v="2522"/>
    <x v="24"/>
    <n v="718"/>
    <n v="346"/>
    <n v="188"/>
    <n v="11"/>
    <n v="0"/>
    <n v="147"/>
    <n v="0"/>
    <n v="0"/>
    <n v="13"/>
    <n v="13"/>
    <n v="0"/>
    <n v="0"/>
    <n v="0"/>
    <n v="0"/>
    <n v="0"/>
    <n v="0.28469468675654241"/>
    <n v="0.71530531324345759"/>
    <n v="0"/>
    <x v="24"/>
    <n v="1386"/>
    <n v="0.93396226415094341"/>
    <n v="0.93396226415094341"/>
    <n v="629"/>
    <n v="474"/>
    <n v="77"/>
    <n v="0"/>
    <n v="78"/>
    <n v="0"/>
    <n v="0"/>
    <n v="64"/>
    <n v="36"/>
    <n v="0"/>
    <n v="0"/>
    <n v="0"/>
    <n v="0"/>
    <n v="28"/>
    <n v="0.54956383822363208"/>
    <n v="0.45043616177636792"/>
    <n v="49"/>
    <x v="24"/>
    <n v="1854"/>
    <n v="0.8939247830279653"/>
    <n v="0.8939247830279653"/>
    <n v="853"/>
    <n v="672"/>
    <n v="115"/>
    <n v="8"/>
    <n v="49"/>
    <n v="0"/>
    <n v="9"/>
    <n v="74"/>
    <n v="16"/>
    <n v="4"/>
    <n v="0"/>
    <n v="23"/>
    <n v="0"/>
    <n v="0"/>
    <n v="31"/>
    <n v="0.73513084853291044"/>
    <n v="0.26486915146708956"/>
    <n v="110"/>
    <x v="23"/>
    <n v="768"/>
    <n v="1"/>
    <n v="1"/>
    <n v="75"/>
    <n v="39"/>
    <n v="0"/>
    <n v="36"/>
    <n v="0"/>
    <n v="0"/>
    <n v="309"/>
    <n v="0"/>
    <n v="98"/>
    <n v="106"/>
    <n v="13"/>
    <n v="0"/>
    <n v="20"/>
    <n v="72"/>
    <n v="0.30452022204599521"/>
    <n v="0.69547977795400473"/>
    <n v="0"/>
    <m/>
  </r>
  <r>
    <x v="25"/>
    <n v="26"/>
    <n v="2095"/>
    <x v="25"/>
    <n v="246"/>
    <n v="114"/>
    <n v="65"/>
    <n v="10"/>
    <n v="0"/>
    <n v="39"/>
    <n v="0"/>
    <n v="0"/>
    <n v="9"/>
    <n v="0"/>
    <n v="0"/>
    <n v="0"/>
    <n v="0"/>
    <n v="0"/>
    <n v="9"/>
    <n v="0.11742243436754177"/>
    <n v="0.88257756563245826"/>
    <n v="21"/>
    <x v="25"/>
    <n v="994"/>
    <n v="0.77414330218068539"/>
    <n v="0.77414330218068539"/>
    <n v="441"/>
    <n v="283"/>
    <n v="112"/>
    <n v="0"/>
    <n v="46"/>
    <n v="0"/>
    <n v="0"/>
    <n v="56"/>
    <n v="42"/>
    <n v="0"/>
    <n v="0"/>
    <n v="0"/>
    <n v="0"/>
    <n v="14"/>
    <n v="0.47446300715990453"/>
    <n v="0.52553699284009547"/>
    <n v="145"/>
    <x v="25"/>
    <n v="1756"/>
    <n v="0.87016848364717547"/>
    <n v="0.87016848364717547"/>
    <n v="686"/>
    <n v="451"/>
    <n v="46"/>
    <n v="21"/>
    <n v="157"/>
    <n v="0"/>
    <n v="11"/>
    <n v="192"/>
    <n v="55"/>
    <n v="0"/>
    <n v="21"/>
    <n v="42"/>
    <n v="0"/>
    <n v="42"/>
    <n v="32"/>
    <n v="0.83818615751789971"/>
    <n v="0.16181384248210029"/>
    <n v="131"/>
    <x v="24"/>
    <n v="600"/>
    <n v="1"/>
    <n v="1"/>
    <n v="58"/>
    <n v="0"/>
    <n v="0"/>
    <n v="58"/>
    <n v="0"/>
    <n v="0"/>
    <n v="242"/>
    <n v="0"/>
    <n v="43"/>
    <n v="66"/>
    <n v="52"/>
    <n v="0"/>
    <n v="8"/>
    <n v="73"/>
    <n v="0.28639618138424822"/>
    <n v="0.71360381861575184"/>
    <n v="0"/>
    <m/>
  </r>
  <r>
    <x v="26"/>
    <n v="27"/>
    <n v="610"/>
    <x v="26"/>
    <n v="178"/>
    <n v="84"/>
    <n v="62"/>
    <n v="0"/>
    <n v="0"/>
    <n v="22"/>
    <n v="0"/>
    <n v="0"/>
    <n v="5"/>
    <n v="0"/>
    <n v="0"/>
    <n v="0"/>
    <n v="0"/>
    <n v="0"/>
    <n v="5"/>
    <n v="0.29180327868852457"/>
    <n v="0.70819672131147549"/>
    <n v="0"/>
    <x v="26"/>
    <n v="424"/>
    <n v="0.89830508474576276"/>
    <n v="0.89830508474576276"/>
    <n v="208"/>
    <n v="176"/>
    <n v="21"/>
    <n v="0"/>
    <n v="11"/>
    <n v="0"/>
    <n v="0"/>
    <n v="4"/>
    <n v="4"/>
    <n v="0"/>
    <n v="0"/>
    <n v="0"/>
    <n v="0"/>
    <n v="0"/>
    <n v="0.69508196721311477"/>
    <n v="0.30491803278688523"/>
    <n v="24"/>
    <x v="26"/>
    <n v="448"/>
    <n v="0.97816593886462877"/>
    <n v="0.97816593886462877"/>
    <n v="191"/>
    <n v="140"/>
    <n v="31"/>
    <n v="8"/>
    <n v="12"/>
    <n v="0"/>
    <n v="0"/>
    <n v="33"/>
    <n v="12"/>
    <n v="0"/>
    <n v="0"/>
    <n v="14"/>
    <n v="0"/>
    <n v="7"/>
    <n v="0"/>
    <n v="0.73442622950819669"/>
    <n v="0.26557377049180331"/>
    <n v="5"/>
    <x v="25"/>
    <n v="112"/>
    <n v="1"/>
    <n v="1"/>
    <n v="16"/>
    <n v="7"/>
    <n v="0"/>
    <n v="9"/>
    <n v="0"/>
    <n v="0"/>
    <n v="40"/>
    <n v="0"/>
    <n v="20"/>
    <n v="12"/>
    <n v="0"/>
    <n v="0"/>
    <n v="0"/>
    <n v="8"/>
    <n v="0.18360655737704917"/>
    <n v="0.81639344262295088"/>
    <n v="0"/>
    <m/>
  </r>
  <r>
    <x v="27"/>
    <n v="28"/>
    <n v="2859"/>
    <x v="27"/>
    <n v="1358"/>
    <n v="625"/>
    <n v="76"/>
    <n v="0"/>
    <n v="0"/>
    <n v="549"/>
    <n v="0"/>
    <n v="0"/>
    <n v="54"/>
    <n v="0"/>
    <n v="0"/>
    <n v="0"/>
    <n v="0"/>
    <n v="0"/>
    <n v="54"/>
    <n v="0.47499125568380551"/>
    <n v="0.52500874431619449"/>
    <n v="63"/>
    <x v="27"/>
    <n v="982"/>
    <n v="0.78685897435897434"/>
    <n v="0.78685897435897434"/>
    <n v="461"/>
    <n v="170"/>
    <n v="0"/>
    <n v="0"/>
    <n v="291"/>
    <n v="0"/>
    <n v="0"/>
    <n v="30"/>
    <n v="0"/>
    <n v="0"/>
    <n v="0"/>
    <n v="0"/>
    <n v="0"/>
    <n v="30"/>
    <n v="0.34347674011892271"/>
    <n v="0.65652325988107729"/>
    <n v="133"/>
    <x v="27"/>
    <n v="1742"/>
    <n v="0.79038112522686021"/>
    <n v="0.79038112522686021"/>
    <n v="762"/>
    <n v="463"/>
    <n v="45"/>
    <n v="35"/>
    <n v="219"/>
    <n v="0"/>
    <n v="0"/>
    <n v="109"/>
    <n v="0"/>
    <n v="7"/>
    <n v="9"/>
    <n v="37"/>
    <n v="0"/>
    <n v="0"/>
    <n v="56"/>
    <n v="0.60930395243091995"/>
    <n v="0.39069604756908005"/>
    <n v="231"/>
    <x v="26"/>
    <n v="782"/>
    <n v="1"/>
    <n v="1"/>
    <n v="101"/>
    <n v="0"/>
    <n v="0"/>
    <n v="101"/>
    <n v="0"/>
    <n v="0"/>
    <n v="290"/>
    <n v="0"/>
    <n v="83"/>
    <n v="40"/>
    <n v="48"/>
    <n v="0"/>
    <n v="10"/>
    <n v="109"/>
    <n v="0.27352221056313397"/>
    <n v="0.72647778943686603"/>
    <n v="0"/>
    <m/>
  </r>
  <r>
    <x v="28"/>
    <n v="29"/>
    <n v="5400"/>
    <x v="28"/>
    <n v="2052"/>
    <n v="950"/>
    <n v="320"/>
    <n v="65"/>
    <n v="0"/>
    <n v="565"/>
    <n v="0"/>
    <n v="0"/>
    <n v="76"/>
    <n v="0"/>
    <n v="0"/>
    <n v="0"/>
    <n v="0"/>
    <n v="0"/>
    <n v="76"/>
    <n v="0.38"/>
    <n v="0.62"/>
    <n v="33"/>
    <x v="28"/>
    <n v="3106"/>
    <n v="0.81866104375329463"/>
    <n v="0.81866104375329463"/>
    <n v="1419"/>
    <n v="969"/>
    <n v="257"/>
    <n v="0"/>
    <n v="193"/>
    <n v="0"/>
    <n v="0"/>
    <n v="134"/>
    <n v="61"/>
    <n v="0"/>
    <n v="48"/>
    <n v="7"/>
    <n v="0"/>
    <n v="18"/>
    <n v="0.57518518518518513"/>
    <n v="0.42481481481481487"/>
    <n v="344"/>
    <x v="28"/>
    <n v="2896"/>
    <n v="0.84235020360674806"/>
    <n v="0.84235020360674806"/>
    <n v="1193"/>
    <n v="676"/>
    <n v="92"/>
    <n v="16"/>
    <n v="393"/>
    <n v="0"/>
    <n v="16"/>
    <n v="255"/>
    <n v="51"/>
    <n v="0"/>
    <n v="0"/>
    <n v="52"/>
    <n v="0"/>
    <n v="31"/>
    <n v="121"/>
    <n v="0.53629629629629627"/>
    <n v="0.46370370370370373"/>
    <n v="271"/>
    <x v="27"/>
    <n v="1450"/>
    <n v="1"/>
    <n v="1"/>
    <n v="187"/>
    <n v="27"/>
    <n v="0"/>
    <n v="160"/>
    <n v="0"/>
    <n v="0"/>
    <n v="538"/>
    <n v="0"/>
    <n v="115"/>
    <n v="104"/>
    <n v="157"/>
    <n v="0"/>
    <n v="22"/>
    <n v="140"/>
    <n v="0.26851851851851855"/>
    <n v="0.7314814814814814"/>
    <n v="0"/>
    <m/>
  </r>
  <r>
    <x v="29"/>
    <n v="30"/>
    <n v="2491"/>
    <x v="29"/>
    <n v="1452"/>
    <n v="679"/>
    <n v="399"/>
    <n v="78"/>
    <n v="0"/>
    <n v="202"/>
    <n v="0"/>
    <n v="0"/>
    <n v="47"/>
    <n v="0"/>
    <n v="0"/>
    <n v="8"/>
    <n v="0"/>
    <n v="0"/>
    <n v="39"/>
    <n v="0.58289843436370936"/>
    <n v="0.41710156563629064"/>
    <n v="0"/>
    <x v="29"/>
    <n v="912"/>
    <n v="0.95798319327731096"/>
    <n v="0.95798319327731096"/>
    <n v="456"/>
    <n v="322"/>
    <n v="31"/>
    <n v="0"/>
    <n v="103"/>
    <n v="0"/>
    <n v="0"/>
    <n v="0"/>
    <n v="0"/>
    <n v="0"/>
    <n v="0"/>
    <n v="0"/>
    <n v="0"/>
    <n v="0"/>
    <n v="0.36611802488960254"/>
    <n v="0.63388197511039746"/>
    <n v="20"/>
    <x v="29"/>
    <n v="1858"/>
    <n v="0.90281827016520899"/>
    <n v="0.90281827016520899"/>
    <n v="773"/>
    <n v="630"/>
    <n v="26"/>
    <n v="12"/>
    <n v="105"/>
    <n v="0"/>
    <n v="0"/>
    <n v="156"/>
    <n v="16"/>
    <n v="6"/>
    <n v="16"/>
    <n v="85"/>
    <n v="0"/>
    <n v="0"/>
    <n v="33"/>
    <n v="0.74588518667201931"/>
    <n v="0.25411481332798069"/>
    <n v="100"/>
    <x v="28"/>
    <n v="520"/>
    <n v="1"/>
    <n v="1"/>
    <n v="39"/>
    <n v="0"/>
    <n v="0"/>
    <n v="39"/>
    <n v="0"/>
    <n v="0"/>
    <n v="221"/>
    <n v="0"/>
    <n v="59"/>
    <n v="66"/>
    <n v="56"/>
    <n v="0"/>
    <n v="0"/>
    <n v="40"/>
    <n v="0.20875150541951024"/>
    <n v="0.79124849458048974"/>
    <n v="0"/>
    <m/>
  </r>
  <r>
    <x v="30"/>
    <n v="31"/>
    <n v="309"/>
    <x v="30"/>
    <n v="82"/>
    <n v="35"/>
    <n v="5"/>
    <n v="0"/>
    <n v="0"/>
    <n v="30"/>
    <n v="0"/>
    <n v="0"/>
    <n v="6"/>
    <n v="0"/>
    <n v="0"/>
    <n v="0"/>
    <n v="0"/>
    <n v="0"/>
    <n v="6"/>
    <n v="0.26537216828478966"/>
    <n v="0.7346278317152104"/>
    <n v="0"/>
    <x v="30"/>
    <n v="194"/>
    <n v="0.71323529411764708"/>
    <n v="0.71323529411764708"/>
    <n v="91"/>
    <n v="34"/>
    <n v="45"/>
    <n v="0"/>
    <n v="12"/>
    <n v="0"/>
    <n v="0"/>
    <n v="6"/>
    <n v="0"/>
    <n v="0"/>
    <n v="6"/>
    <n v="0"/>
    <n v="0"/>
    <n v="0"/>
    <n v="0.62783171521035597"/>
    <n v="0.37216828478964403"/>
    <n v="39"/>
    <x v="30"/>
    <n v="190"/>
    <n v="0.92233009708737868"/>
    <n v="0.92233009708737868"/>
    <n v="90"/>
    <n v="73"/>
    <n v="10"/>
    <n v="0"/>
    <n v="7"/>
    <n v="0"/>
    <n v="0"/>
    <n v="5"/>
    <n v="0"/>
    <n v="0"/>
    <n v="0"/>
    <n v="5"/>
    <n v="0"/>
    <n v="0"/>
    <n v="0"/>
    <n v="0.61488673139158578"/>
    <n v="0.38511326860841422"/>
    <n v="8"/>
    <x v="29"/>
    <n v="58"/>
    <n v="1"/>
    <n v="1"/>
    <n v="6"/>
    <n v="0"/>
    <n v="0"/>
    <n v="6"/>
    <n v="0"/>
    <n v="0"/>
    <n v="23"/>
    <n v="0"/>
    <n v="3"/>
    <n v="10"/>
    <n v="10"/>
    <n v="0"/>
    <n v="0"/>
    <n v="0"/>
    <n v="0.18770226537216828"/>
    <n v="0.81229773462783172"/>
    <n v="0"/>
    <m/>
  </r>
  <r>
    <x v="31"/>
    <n v="32"/>
    <n v="1181"/>
    <x v="31"/>
    <n v="242"/>
    <n v="121"/>
    <n v="57"/>
    <n v="32"/>
    <n v="0"/>
    <n v="32"/>
    <n v="0"/>
    <n v="0"/>
    <n v="0"/>
    <n v="0"/>
    <n v="0"/>
    <n v="0"/>
    <n v="0"/>
    <n v="0"/>
    <n v="0"/>
    <n v="0.20491109229466553"/>
    <n v="0.79508890770533447"/>
    <n v="0"/>
    <x v="31"/>
    <n v="1474"/>
    <n v="1"/>
    <n v="1"/>
    <n v="737"/>
    <n v="571"/>
    <n v="116"/>
    <n v="0"/>
    <n v="50"/>
    <n v="0"/>
    <n v="0"/>
    <n v="0"/>
    <n v="0"/>
    <n v="0"/>
    <n v="0"/>
    <n v="0"/>
    <n v="0"/>
    <n v="0"/>
    <n v="1.2480948348856902"/>
    <n v="-0.24809483488569017"/>
    <n v="0"/>
    <x v="31"/>
    <n v="446"/>
    <n v="0.94092827004219415"/>
    <n v="0.94092827004219415"/>
    <n v="192"/>
    <n v="142"/>
    <n v="24"/>
    <n v="13"/>
    <n v="13"/>
    <n v="0"/>
    <n v="0"/>
    <n v="31"/>
    <n v="0"/>
    <n v="7"/>
    <n v="15"/>
    <n v="0"/>
    <n v="0"/>
    <n v="0"/>
    <n v="9"/>
    <n v="0.37764606265876377"/>
    <n v="0.62235393734123623"/>
    <n v="14"/>
    <x v="30"/>
    <n v="172"/>
    <n v="1"/>
    <n v="1"/>
    <n v="21"/>
    <n v="8"/>
    <n v="0"/>
    <n v="13"/>
    <n v="0"/>
    <n v="0"/>
    <n v="65"/>
    <n v="0"/>
    <n v="7"/>
    <n v="18"/>
    <n v="37"/>
    <n v="0"/>
    <n v="0"/>
    <n v="3"/>
    <n v="0.14563928873835733"/>
    <n v="0.8543607112616427"/>
    <n v="0"/>
    <m/>
  </r>
  <r>
    <x v="32"/>
    <n v="33"/>
    <n v="1270"/>
    <x v="32"/>
    <n v="542"/>
    <n v="241"/>
    <n v="61"/>
    <n v="0"/>
    <n v="0"/>
    <n v="180"/>
    <n v="0"/>
    <n v="0"/>
    <n v="30"/>
    <n v="30"/>
    <n v="0"/>
    <n v="0"/>
    <n v="0"/>
    <n v="0"/>
    <n v="0"/>
    <n v="0.42677165354330709"/>
    <n v="0.57322834645669296"/>
    <n v="0"/>
    <x v="32"/>
    <n v="456"/>
    <n v="0.81428571428571428"/>
    <n v="0.81428571428571428"/>
    <n v="198"/>
    <n v="74"/>
    <n v="18"/>
    <n v="0"/>
    <n v="106"/>
    <n v="0"/>
    <n v="0"/>
    <n v="30"/>
    <n v="3"/>
    <n v="0"/>
    <n v="4"/>
    <n v="0"/>
    <n v="0"/>
    <n v="23"/>
    <n v="0.35905511811023622"/>
    <n v="0.64094488188976384"/>
    <n v="52"/>
    <x v="32"/>
    <n v="958"/>
    <n v="0.82444061962134252"/>
    <n v="0.82444061962134252"/>
    <n v="360"/>
    <n v="260"/>
    <n v="9"/>
    <n v="4"/>
    <n v="87"/>
    <n v="0"/>
    <n v="0"/>
    <n v="119"/>
    <n v="32"/>
    <n v="0"/>
    <n v="0"/>
    <n v="10"/>
    <n v="0"/>
    <n v="6"/>
    <n v="71"/>
    <n v="0.75433070866141727"/>
    <n v="0.24566929133858273"/>
    <n v="102"/>
    <x v="31"/>
    <n v="276"/>
    <n v="1"/>
    <n v="1"/>
    <n v="37"/>
    <n v="0"/>
    <n v="0"/>
    <n v="37"/>
    <n v="0"/>
    <n v="0"/>
    <n v="101"/>
    <n v="0"/>
    <n v="43"/>
    <n v="3"/>
    <n v="23"/>
    <n v="0"/>
    <n v="7"/>
    <n v="25"/>
    <n v="0.21732283464566929"/>
    <n v="0.78267716535433074"/>
    <n v="0"/>
    <m/>
  </r>
  <r>
    <x v="33"/>
    <n v="34"/>
    <n v="1829"/>
    <x v="33"/>
    <n v="218"/>
    <n v="90"/>
    <n v="80"/>
    <n v="0"/>
    <n v="0"/>
    <n v="10"/>
    <n v="0"/>
    <n v="0"/>
    <n v="19"/>
    <n v="0"/>
    <n v="0"/>
    <n v="8"/>
    <n v="0"/>
    <n v="0"/>
    <n v="11"/>
    <n v="0.11919081465281575"/>
    <n v="0.88080918534718422"/>
    <n v="0"/>
    <x v="33"/>
    <n v="1960"/>
    <n v="0.87421944692239073"/>
    <n v="0.87421944692239073"/>
    <n v="900"/>
    <n v="744"/>
    <n v="151"/>
    <n v="0"/>
    <n v="5"/>
    <n v="0"/>
    <n v="0"/>
    <n v="80"/>
    <n v="59"/>
    <n v="0"/>
    <n v="0"/>
    <n v="0"/>
    <n v="0"/>
    <n v="21"/>
    <n v="1.0716238381629306"/>
    <n v="-7.1623838162930609E-2"/>
    <n v="141"/>
    <x v="33"/>
    <n v="868"/>
    <n v="0.86282306163021871"/>
    <n v="0.86282306163021871"/>
    <n v="413"/>
    <n v="354"/>
    <n v="27"/>
    <n v="0"/>
    <n v="23"/>
    <n v="0"/>
    <n v="9"/>
    <n v="21"/>
    <n v="0"/>
    <n v="0"/>
    <n v="0"/>
    <n v="7"/>
    <n v="0"/>
    <n v="0"/>
    <n v="14"/>
    <n v="0.47457627118644069"/>
    <n v="0.52542372881355925"/>
    <n v="69"/>
    <x v="32"/>
    <n v="192"/>
    <n v="1"/>
    <n v="1"/>
    <n v="43"/>
    <n v="0"/>
    <n v="0"/>
    <n v="43"/>
    <n v="0"/>
    <n v="0"/>
    <n v="53"/>
    <n v="0"/>
    <n v="0"/>
    <n v="38"/>
    <n v="15"/>
    <n v="0"/>
    <n v="0"/>
    <n v="0"/>
    <n v="0.10497539639147074"/>
    <n v="0.8950246036085292"/>
    <n v="0"/>
    <m/>
  </r>
  <r>
    <x v="34"/>
    <n v="35"/>
    <n v="3966"/>
    <x v="34"/>
    <n v="1950"/>
    <n v="911"/>
    <n v="112"/>
    <n v="86"/>
    <n v="65"/>
    <n v="648"/>
    <n v="0"/>
    <n v="0"/>
    <n v="64"/>
    <n v="0"/>
    <n v="0"/>
    <n v="12"/>
    <n v="0"/>
    <n v="0"/>
    <n v="52"/>
    <n v="0.49167927382753401"/>
    <n v="0.50832072617246604"/>
    <n v="25"/>
    <x v="34"/>
    <n v="1520"/>
    <n v="0.71969696969696972"/>
    <n v="0.71969696969696972"/>
    <n v="737"/>
    <n v="353"/>
    <n v="126"/>
    <n v="0"/>
    <n v="258"/>
    <n v="0"/>
    <n v="0"/>
    <n v="23"/>
    <n v="9"/>
    <n v="0"/>
    <n v="0"/>
    <n v="0"/>
    <n v="0"/>
    <n v="14"/>
    <n v="0.38325769036812912"/>
    <n v="0.61674230963187093"/>
    <n v="296"/>
    <x v="34"/>
    <n v="2262"/>
    <n v="0.77306903622693102"/>
    <n v="0.77306903622693102"/>
    <n v="852"/>
    <n v="520"/>
    <n v="56"/>
    <n v="19"/>
    <n v="255"/>
    <n v="0"/>
    <n v="2"/>
    <n v="279"/>
    <n v="12"/>
    <n v="32"/>
    <n v="19"/>
    <n v="111"/>
    <n v="0"/>
    <n v="6"/>
    <n v="99"/>
    <n v="0.57034795763993951"/>
    <n v="0.42965204236006049"/>
    <n v="332"/>
    <x v="33"/>
    <n v="878"/>
    <n v="0.98210290827740487"/>
    <n v="0.98210290827740487"/>
    <n v="129"/>
    <n v="19"/>
    <n v="0"/>
    <n v="104"/>
    <n v="0"/>
    <n v="6"/>
    <n v="310"/>
    <n v="0"/>
    <n v="26"/>
    <n v="98"/>
    <n v="105"/>
    <n v="0"/>
    <n v="4"/>
    <n v="77"/>
    <n v="0.22138174483106404"/>
    <n v="0.77861825516893601"/>
    <n v="8"/>
    <m/>
  </r>
  <r>
    <x v="35"/>
    <n v="36"/>
    <n v="507"/>
    <x v="35"/>
    <n v="236"/>
    <n v="118"/>
    <n v="21"/>
    <n v="0"/>
    <n v="31"/>
    <n v="66"/>
    <n v="0"/>
    <n v="0"/>
    <n v="0"/>
    <n v="0"/>
    <n v="0"/>
    <n v="0"/>
    <n v="0"/>
    <n v="0"/>
    <n v="0"/>
    <n v="0.46548323471400394"/>
    <n v="0.53451676528599612"/>
    <n v="0"/>
    <x v="35"/>
    <n v="204"/>
    <n v="1"/>
    <n v="1"/>
    <n v="53"/>
    <n v="0"/>
    <n v="10"/>
    <n v="30"/>
    <n v="13"/>
    <n v="0"/>
    <n v="0"/>
    <n v="49"/>
    <n v="0"/>
    <n v="0"/>
    <n v="0"/>
    <n v="0"/>
    <n v="0"/>
    <n v="49"/>
    <n v="0.40236686390532544"/>
    <n v="0.5976331360946745"/>
    <n v="0"/>
    <x v="35"/>
    <n v="356"/>
    <n v="0.86829268292682926"/>
    <n v="0.86829268292682926"/>
    <n v="101"/>
    <n v="43"/>
    <n v="0"/>
    <n v="0"/>
    <n v="58"/>
    <n v="0"/>
    <n v="0"/>
    <n v="77"/>
    <n v="0"/>
    <n v="0"/>
    <n v="0"/>
    <n v="42"/>
    <n v="0"/>
    <n v="30"/>
    <n v="5"/>
    <n v="0.70216962524654836"/>
    <n v="0.29783037475345164"/>
    <n v="27"/>
    <x v="34"/>
    <n v="164"/>
    <n v="1"/>
    <n v="1"/>
    <n v="25"/>
    <n v="0"/>
    <n v="0"/>
    <n v="25"/>
    <n v="0"/>
    <n v="0"/>
    <n v="57"/>
    <n v="0"/>
    <n v="6"/>
    <n v="12"/>
    <n v="19"/>
    <n v="0"/>
    <n v="0"/>
    <n v="20"/>
    <n v="0.3234714003944773"/>
    <n v="0.6765285996055227"/>
    <n v="0"/>
    <m/>
  </r>
  <r>
    <x v="36"/>
    <n v="37"/>
    <n v="7690"/>
    <x v="36"/>
    <n v="2314"/>
    <n v="1121"/>
    <n v="764"/>
    <n v="70"/>
    <n v="0"/>
    <n v="275"/>
    <n v="12"/>
    <n v="0"/>
    <n v="36"/>
    <n v="16"/>
    <n v="9"/>
    <n v="0"/>
    <n v="0"/>
    <n v="0"/>
    <n v="11"/>
    <n v="0.30091027308192458"/>
    <n v="0.69908972691807536"/>
    <n v="64"/>
    <x v="36"/>
    <n v="4526"/>
    <n v="0.89552829442026116"/>
    <n v="0.89552829442026116"/>
    <n v="2204"/>
    <n v="1766"/>
    <n v="248"/>
    <n v="0"/>
    <n v="178"/>
    <n v="12"/>
    <n v="0"/>
    <n v="59"/>
    <n v="40"/>
    <n v="0"/>
    <n v="0"/>
    <n v="0"/>
    <n v="0"/>
    <n v="19"/>
    <n v="0.58855656697009107"/>
    <n v="0.41144343302990893"/>
    <n v="264"/>
    <x v="36"/>
    <n v="5210"/>
    <n v="0.94349873234335391"/>
    <n v="0.94349873234335391"/>
    <n v="2363"/>
    <n v="2042"/>
    <n v="135"/>
    <n v="18"/>
    <n v="157"/>
    <n v="11"/>
    <n v="0"/>
    <n v="242"/>
    <n v="79"/>
    <n v="19"/>
    <n v="17"/>
    <n v="52"/>
    <n v="0"/>
    <n v="0"/>
    <n v="75"/>
    <n v="0.67750325097529263"/>
    <n v="0.32249674902470737"/>
    <n v="156"/>
    <x v="35"/>
    <n v="2362"/>
    <n v="1"/>
    <n v="1"/>
    <n v="183"/>
    <n v="15"/>
    <n v="9"/>
    <n v="159"/>
    <n v="0"/>
    <n v="0"/>
    <n v="998"/>
    <n v="0"/>
    <n v="178"/>
    <n v="357"/>
    <n v="129"/>
    <n v="0"/>
    <n v="9"/>
    <n v="325"/>
    <n v="0.30715214564369309"/>
    <n v="0.69284785435630691"/>
    <n v="0"/>
    <m/>
  </r>
  <r>
    <x v="37"/>
    <n v="38"/>
    <n v="405"/>
    <x v="37"/>
    <n v="168"/>
    <n v="84"/>
    <n v="32"/>
    <n v="19"/>
    <n v="0"/>
    <n v="30"/>
    <n v="3"/>
    <n v="0"/>
    <n v="0"/>
    <n v="0"/>
    <n v="0"/>
    <n v="0"/>
    <n v="0"/>
    <n v="0"/>
    <n v="0"/>
    <n v="0.4148148148148148"/>
    <n v="0.58518518518518525"/>
    <n v="0"/>
    <x v="37"/>
    <n v="98"/>
    <n v="0.83050847457627119"/>
    <n v="0.83050847457627119"/>
    <n v="45"/>
    <n v="21"/>
    <n v="10"/>
    <n v="0"/>
    <n v="11"/>
    <n v="3"/>
    <n v="0"/>
    <n v="4"/>
    <n v="0"/>
    <n v="0"/>
    <n v="4"/>
    <n v="0"/>
    <n v="0"/>
    <n v="0"/>
    <n v="0.24197530864197531"/>
    <n v="0.75802469135802464"/>
    <n v="10"/>
    <x v="37"/>
    <n v="372"/>
    <n v="0.93"/>
    <n v="0.93"/>
    <n v="160"/>
    <n v="88"/>
    <n v="29"/>
    <n v="0"/>
    <n v="37"/>
    <n v="0"/>
    <n v="6"/>
    <n v="26"/>
    <n v="6"/>
    <n v="0"/>
    <n v="0"/>
    <n v="3"/>
    <n v="0"/>
    <n v="8"/>
    <n v="9"/>
    <n v="0.91851851851851851"/>
    <n v="8.1481481481481488E-2"/>
    <n v="14"/>
    <x v="36"/>
    <n v="124"/>
    <n v="1"/>
    <n v="1"/>
    <n v="16"/>
    <n v="0"/>
    <n v="5"/>
    <n v="11"/>
    <n v="0"/>
    <n v="0"/>
    <n v="46"/>
    <n v="0"/>
    <n v="9"/>
    <n v="19"/>
    <n v="13"/>
    <n v="0"/>
    <n v="0"/>
    <n v="5"/>
    <n v="0.30617283950617286"/>
    <n v="0.69382716049382709"/>
    <n v="0"/>
    <m/>
  </r>
  <r>
    <x v="38"/>
    <n v="39"/>
    <n v="4257"/>
    <x v="38"/>
    <n v="2076"/>
    <n v="1028"/>
    <n v="474"/>
    <n v="80"/>
    <n v="0"/>
    <n v="474"/>
    <n v="0"/>
    <n v="0"/>
    <n v="10"/>
    <n v="0"/>
    <n v="0"/>
    <n v="0"/>
    <n v="0"/>
    <n v="0"/>
    <n v="10"/>
    <n v="0.48766737138830163"/>
    <n v="0.51233262861169837"/>
    <n v="18"/>
    <x v="38"/>
    <n v="1102"/>
    <n v="0.74158815612382234"/>
    <n v="0.74158815612382234"/>
    <n v="526"/>
    <n v="358"/>
    <n v="51"/>
    <n v="0"/>
    <n v="117"/>
    <n v="0"/>
    <n v="0"/>
    <n v="25"/>
    <n v="0"/>
    <n v="0"/>
    <n v="11"/>
    <n v="0"/>
    <n v="0"/>
    <n v="14"/>
    <n v="0.25886774723984024"/>
    <n v="0.74113225276015982"/>
    <n v="192"/>
    <x v="38"/>
    <n v="2898"/>
    <n v="0.8214285714285714"/>
    <n v="0.8214285714285714"/>
    <n v="1217"/>
    <n v="774"/>
    <n v="69"/>
    <n v="97"/>
    <n v="275"/>
    <n v="0"/>
    <n v="2"/>
    <n v="232"/>
    <n v="30"/>
    <n v="0"/>
    <n v="0"/>
    <n v="115"/>
    <n v="0"/>
    <n v="0"/>
    <n v="87"/>
    <n v="0.68076109936575058"/>
    <n v="0.31923890063424942"/>
    <n v="315"/>
    <x v="37"/>
    <n v="1370"/>
    <n v="0.98703170028818443"/>
    <n v="0.98703170028818443"/>
    <n v="288"/>
    <n v="111"/>
    <n v="0"/>
    <n v="177"/>
    <n v="0"/>
    <n v="0"/>
    <n v="397"/>
    <n v="0"/>
    <n v="48"/>
    <n v="188"/>
    <n v="35"/>
    <n v="0"/>
    <n v="4"/>
    <n v="122"/>
    <n v="0.32182287996241482"/>
    <n v="0.67817712003758523"/>
    <n v="9"/>
    <m/>
  </r>
  <r>
    <x v="39"/>
    <n v="40"/>
    <n v="6805"/>
    <x v="39"/>
    <n v="2984"/>
    <n v="1476"/>
    <n v="962"/>
    <n v="321"/>
    <n v="0"/>
    <n v="181"/>
    <n v="12"/>
    <n v="0"/>
    <n v="16"/>
    <n v="0"/>
    <n v="0"/>
    <n v="0"/>
    <n v="0"/>
    <n v="0"/>
    <n v="16"/>
    <n v="0.43850110213078619"/>
    <n v="0.56149889786921381"/>
    <n v="0"/>
    <x v="39"/>
    <n v="3088"/>
    <n v="0.91360946745562133"/>
    <n v="0.91360946745562133"/>
    <n v="1519"/>
    <n v="1350"/>
    <n v="108"/>
    <n v="0"/>
    <n v="61"/>
    <n v="0"/>
    <n v="0"/>
    <n v="25"/>
    <n v="0"/>
    <n v="0"/>
    <n v="0"/>
    <n v="0"/>
    <n v="0"/>
    <n v="25"/>
    <n v="0.45378398236590745"/>
    <n v="0.54621601763409255"/>
    <n v="146"/>
    <x v="39"/>
    <n v="5022"/>
    <n v="0.93"/>
    <n v="0.93"/>
    <n v="2227"/>
    <n v="1713"/>
    <n v="351"/>
    <n v="36"/>
    <n v="64"/>
    <n v="15"/>
    <n v="48"/>
    <n v="284"/>
    <n v="101"/>
    <n v="0"/>
    <n v="21"/>
    <n v="2"/>
    <n v="0"/>
    <n v="13"/>
    <n v="147"/>
    <n v="0.73798677443056571"/>
    <n v="0.26201322556943429"/>
    <n v="189"/>
    <x v="38"/>
    <n v="1846"/>
    <n v="1"/>
    <n v="1"/>
    <n v="220"/>
    <n v="29"/>
    <n v="0"/>
    <n v="191"/>
    <n v="0"/>
    <n v="0"/>
    <n v="703"/>
    <n v="0"/>
    <n v="247"/>
    <n v="288"/>
    <n v="34"/>
    <n v="0"/>
    <n v="15"/>
    <n v="119"/>
    <n v="0.27127112417340193"/>
    <n v="0.72872887582659807"/>
    <n v="0"/>
    <m/>
  </r>
  <r>
    <x v="40"/>
    <n v="41"/>
    <n v="3371"/>
    <x v="40"/>
    <n v="2488"/>
    <n v="1165"/>
    <n v="180"/>
    <n v="119"/>
    <n v="21"/>
    <n v="845"/>
    <n v="0"/>
    <n v="0"/>
    <n v="79"/>
    <n v="7"/>
    <n v="0"/>
    <n v="19"/>
    <n v="0"/>
    <n v="0"/>
    <n v="53"/>
    <n v="0.73805992287155142"/>
    <n v="0.26194007712844858"/>
    <n v="31"/>
    <x v="40"/>
    <n v="1236"/>
    <n v="0.78326996197718635"/>
    <n v="0.78326996197718635"/>
    <n v="564"/>
    <n v="103"/>
    <n v="50"/>
    <n v="25"/>
    <n v="386"/>
    <n v="0"/>
    <n v="0"/>
    <n v="54"/>
    <n v="21"/>
    <n v="0"/>
    <n v="23"/>
    <n v="0"/>
    <n v="0"/>
    <n v="10"/>
    <n v="0.36665677840403443"/>
    <n v="0.63334322159596557"/>
    <n v="171"/>
    <x v="40"/>
    <n v="1638"/>
    <n v="0.85579937304075238"/>
    <n v="0.85579937304075238"/>
    <n v="640"/>
    <n v="306"/>
    <n v="18"/>
    <n v="40"/>
    <n v="265"/>
    <n v="0"/>
    <n v="11"/>
    <n v="179"/>
    <n v="5"/>
    <n v="15"/>
    <n v="0"/>
    <n v="72"/>
    <n v="0"/>
    <n v="0"/>
    <n v="87"/>
    <n v="0.48590922574903589"/>
    <n v="0.51409077425096417"/>
    <n v="138"/>
    <x v="39"/>
    <n v="700"/>
    <n v="1"/>
    <n v="1"/>
    <n v="108"/>
    <n v="0"/>
    <n v="0"/>
    <n v="108"/>
    <n v="0"/>
    <n v="0"/>
    <n v="242"/>
    <n v="0"/>
    <n v="91"/>
    <n v="43"/>
    <n v="35"/>
    <n v="0"/>
    <n v="7"/>
    <n v="66"/>
    <n v="0.20765351527736578"/>
    <n v="0.79234648472263425"/>
    <n v="0"/>
    <m/>
  </r>
  <r>
    <x v="41"/>
    <n v="42"/>
    <n v="2276"/>
    <x v="41"/>
    <n v="1058"/>
    <n v="496"/>
    <n v="115"/>
    <n v="7"/>
    <n v="0"/>
    <n v="374"/>
    <n v="0"/>
    <n v="0"/>
    <n v="33"/>
    <n v="0"/>
    <n v="0"/>
    <n v="27"/>
    <n v="0"/>
    <n v="0"/>
    <n v="6"/>
    <n v="0.46485061511423548"/>
    <n v="0.53514938488576447"/>
    <n v="26"/>
    <x v="41"/>
    <n v="758"/>
    <n v="0.69541284403669723"/>
    <n v="0.69541284403669723"/>
    <n v="360"/>
    <n v="175"/>
    <n v="14"/>
    <n v="0"/>
    <n v="171"/>
    <n v="0"/>
    <n v="0"/>
    <n v="19"/>
    <n v="0"/>
    <n v="0"/>
    <n v="9"/>
    <n v="0"/>
    <n v="10"/>
    <n v="0"/>
    <n v="0.33304042179261861"/>
    <n v="0.66695957820738139"/>
    <n v="166"/>
    <x v="41"/>
    <n v="1140"/>
    <n v="0.8571428571428571"/>
    <n v="0.8571428571428571"/>
    <n v="468"/>
    <n v="235"/>
    <n v="34"/>
    <n v="20"/>
    <n v="179"/>
    <n v="0"/>
    <n v="0"/>
    <n v="102"/>
    <n v="4"/>
    <n v="5"/>
    <n v="0"/>
    <n v="28"/>
    <n v="0"/>
    <n v="14"/>
    <n v="51"/>
    <n v="0.50087873462214416"/>
    <n v="0.49912126537785584"/>
    <n v="95"/>
    <x v="40"/>
    <n v="1022"/>
    <n v="1"/>
    <n v="1"/>
    <n v="109"/>
    <n v="6"/>
    <n v="0"/>
    <n v="103"/>
    <n v="0"/>
    <n v="0"/>
    <n v="402"/>
    <n v="0"/>
    <n v="62"/>
    <n v="55"/>
    <n v="140"/>
    <n v="0"/>
    <n v="20"/>
    <n v="125"/>
    <n v="0.44903339191564146"/>
    <n v="0.55096660808435849"/>
    <n v="0"/>
    <m/>
  </r>
  <r>
    <x v="42"/>
    <n v="43"/>
    <n v="850"/>
    <x v="42"/>
    <n v="280"/>
    <n v="122"/>
    <n v="0"/>
    <n v="6"/>
    <n v="0"/>
    <n v="116"/>
    <n v="0"/>
    <n v="0"/>
    <n v="18"/>
    <n v="0"/>
    <n v="0"/>
    <n v="18"/>
    <n v="0"/>
    <n v="0"/>
    <n v="0"/>
    <n v="0.32941176470588235"/>
    <n v="0.67058823529411771"/>
    <n v="0"/>
    <x v="42"/>
    <n v="246"/>
    <n v="0.62755102040816324"/>
    <n v="0.62755102040816324"/>
    <n v="67"/>
    <n v="23"/>
    <n v="0"/>
    <n v="0"/>
    <n v="44"/>
    <n v="0"/>
    <n v="0"/>
    <n v="56"/>
    <n v="0"/>
    <n v="0"/>
    <n v="36"/>
    <n v="0"/>
    <n v="0"/>
    <n v="20"/>
    <n v="0.28941176470588237"/>
    <n v="0.71058823529411763"/>
    <n v="73"/>
    <x v="42"/>
    <n v="470"/>
    <n v="0.85144927536231885"/>
    <n v="0.85144927536231885"/>
    <n v="221"/>
    <n v="99"/>
    <n v="5"/>
    <n v="0"/>
    <n v="116"/>
    <n v="0"/>
    <n v="1"/>
    <n v="14"/>
    <n v="0"/>
    <n v="0"/>
    <n v="0"/>
    <n v="3"/>
    <n v="0"/>
    <n v="0"/>
    <n v="11"/>
    <n v="0.55294117647058827"/>
    <n v="0.44705882352941173"/>
    <n v="41"/>
    <x v="41"/>
    <n v="476"/>
    <n v="1"/>
    <n v="1"/>
    <n v="98"/>
    <n v="18"/>
    <n v="3"/>
    <n v="77"/>
    <n v="0"/>
    <n v="0"/>
    <n v="140"/>
    <n v="0"/>
    <n v="16"/>
    <n v="29"/>
    <n v="55"/>
    <n v="0"/>
    <n v="0"/>
    <n v="40"/>
    <n v="0.56000000000000005"/>
    <n v="0.43999999999999995"/>
    <n v="0"/>
    <m/>
  </r>
  <r>
    <x v="43"/>
    <n v="44"/>
    <n v="4255"/>
    <x v="43"/>
    <n v="2732"/>
    <n v="1208"/>
    <n v="256"/>
    <n v="0"/>
    <n v="0"/>
    <n v="952"/>
    <n v="0"/>
    <n v="0"/>
    <n v="158"/>
    <n v="0"/>
    <n v="0"/>
    <n v="0"/>
    <n v="0"/>
    <n v="0"/>
    <n v="158"/>
    <n v="0.6420681551116334"/>
    <n v="0.3579318448883666"/>
    <n v="68"/>
    <x v="43"/>
    <n v="1630"/>
    <n v="0.70746527777777779"/>
    <n v="0.70746527777777779"/>
    <n v="791"/>
    <n v="329"/>
    <n v="6"/>
    <n v="0"/>
    <n v="456"/>
    <n v="0"/>
    <n v="0"/>
    <n v="24"/>
    <n v="0"/>
    <n v="0"/>
    <n v="0"/>
    <n v="0"/>
    <n v="0"/>
    <n v="24"/>
    <n v="0.38307873090481787"/>
    <n v="0.61692126909518219"/>
    <n v="337"/>
    <x v="43"/>
    <n v="2226"/>
    <n v="0.875"/>
    <n v="0.875"/>
    <n v="972"/>
    <n v="606"/>
    <n v="13"/>
    <n v="48"/>
    <n v="305"/>
    <n v="0"/>
    <n v="0"/>
    <n v="141"/>
    <n v="23"/>
    <n v="8"/>
    <n v="0"/>
    <n v="53"/>
    <n v="0"/>
    <n v="0"/>
    <n v="57"/>
    <n v="0.52314923619271447"/>
    <n v="0.47685076380728553"/>
    <n v="159"/>
    <x v="42"/>
    <n v="794"/>
    <n v="1"/>
    <n v="1"/>
    <n v="109"/>
    <n v="0"/>
    <n v="0"/>
    <n v="109"/>
    <n v="0"/>
    <n v="0"/>
    <n v="288"/>
    <n v="0"/>
    <n v="14"/>
    <n v="129"/>
    <n v="90"/>
    <n v="0"/>
    <n v="13"/>
    <n v="42"/>
    <n v="0.18660399529964747"/>
    <n v="0.81339600470035256"/>
    <n v="0"/>
    <m/>
  </r>
  <r>
    <x v="44"/>
    <n v="45"/>
    <n v="1493"/>
    <x v="44"/>
    <n v="770"/>
    <n v="365"/>
    <n v="155"/>
    <n v="10"/>
    <n v="0"/>
    <n v="200"/>
    <n v="0"/>
    <n v="0"/>
    <n v="20"/>
    <n v="4"/>
    <n v="0"/>
    <n v="0"/>
    <n v="0"/>
    <n v="0"/>
    <n v="16"/>
    <n v="0.51574012056262564"/>
    <n v="0.48425987943737436"/>
    <n v="3"/>
    <x v="44"/>
    <n v="502"/>
    <n v="0.83112582781456956"/>
    <n v="0.83112582781456956"/>
    <n v="210"/>
    <n v="118"/>
    <n v="6"/>
    <n v="0"/>
    <n v="86"/>
    <n v="0"/>
    <n v="0"/>
    <n v="41"/>
    <n v="12"/>
    <n v="0"/>
    <n v="25"/>
    <n v="0"/>
    <n v="0"/>
    <n v="4"/>
    <n v="0.33623576691225721"/>
    <n v="0.66376423308774279"/>
    <n v="51"/>
    <x v="44"/>
    <n v="678"/>
    <n v="0.70331950207468885"/>
    <n v="0.70331950207468885"/>
    <n v="280"/>
    <n v="149"/>
    <n v="25"/>
    <n v="6"/>
    <n v="100"/>
    <n v="0"/>
    <n v="0"/>
    <n v="59"/>
    <n v="0"/>
    <n v="5"/>
    <n v="0"/>
    <n v="11"/>
    <n v="0"/>
    <n v="5"/>
    <n v="38"/>
    <n v="0.45411922304085733"/>
    <n v="0.54588077695914272"/>
    <n v="143"/>
    <x v="43"/>
    <n v="642"/>
    <n v="1"/>
    <n v="1"/>
    <n v="86"/>
    <n v="4"/>
    <n v="0"/>
    <n v="82"/>
    <n v="0"/>
    <n v="0"/>
    <n v="235"/>
    <n v="0"/>
    <n v="49"/>
    <n v="69"/>
    <n v="49"/>
    <n v="0"/>
    <n v="11"/>
    <n v="57"/>
    <n v="0.43000669792364365"/>
    <n v="0.56999330207635635"/>
    <n v="0"/>
    <m/>
  </r>
  <r>
    <x v="45"/>
    <n v="46"/>
    <n v="3499"/>
    <x v="45"/>
    <n v="1292"/>
    <n v="634"/>
    <n v="444"/>
    <n v="101"/>
    <n v="0"/>
    <n v="89"/>
    <n v="0"/>
    <n v="0"/>
    <n v="12"/>
    <n v="0"/>
    <n v="0"/>
    <n v="0"/>
    <n v="0"/>
    <n v="0"/>
    <n v="12"/>
    <n v="0.36924835667333522"/>
    <n v="0.63075164332666478"/>
    <n v="0"/>
    <x v="45"/>
    <n v="1002"/>
    <n v="0.75112443778110949"/>
    <n v="0.75112443778110949"/>
    <n v="452"/>
    <n v="369"/>
    <n v="72"/>
    <n v="0"/>
    <n v="11"/>
    <n v="0"/>
    <n v="0"/>
    <n v="49"/>
    <n v="0"/>
    <n v="0"/>
    <n v="31"/>
    <n v="0"/>
    <n v="0"/>
    <n v="18"/>
    <n v="0.28636753358102313"/>
    <n v="0.71363246641897682"/>
    <n v="166"/>
    <x v="45"/>
    <n v="2830"/>
    <n v="0.91585760517799353"/>
    <n v="0.91585760517799353"/>
    <n v="1251"/>
    <n v="968"/>
    <n v="208"/>
    <n v="22"/>
    <n v="30"/>
    <n v="6"/>
    <n v="17"/>
    <n v="164"/>
    <n v="8"/>
    <n v="0"/>
    <n v="7"/>
    <n v="56"/>
    <n v="0"/>
    <n v="0"/>
    <n v="93"/>
    <n v="0.8088025150042869"/>
    <n v="0.1911974849957131"/>
    <n v="130"/>
    <x v="44"/>
    <n v="1282"/>
    <n v="1"/>
    <n v="1"/>
    <n v="147"/>
    <n v="16"/>
    <n v="0"/>
    <n v="131"/>
    <n v="0"/>
    <n v="0"/>
    <n v="494"/>
    <n v="10"/>
    <n v="203"/>
    <n v="211"/>
    <n v="16"/>
    <n v="0"/>
    <n v="0"/>
    <n v="54"/>
    <n v="0.36639039725635897"/>
    <n v="0.63360960274364109"/>
    <n v="0"/>
    <m/>
  </r>
  <r>
    <x v="46"/>
    <n v="47"/>
    <n v="4643"/>
    <x v="46"/>
    <n v="1716"/>
    <n v="628"/>
    <n v="166"/>
    <n v="43"/>
    <n v="0"/>
    <n v="419"/>
    <n v="0"/>
    <n v="0"/>
    <n v="230"/>
    <n v="13"/>
    <n v="0"/>
    <n v="10"/>
    <n v="0"/>
    <n v="0"/>
    <n v="207"/>
    <n v="0.3695886280422141"/>
    <n v="0.63041137195778596"/>
    <n v="58"/>
    <x v="46"/>
    <n v="1806"/>
    <n v="0.74628099173553719"/>
    <n v="0.74628099173553719"/>
    <n v="770"/>
    <n v="370"/>
    <n v="82"/>
    <n v="0"/>
    <n v="318"/>
    <n v="0"/>
    <n v="0"/>
    <n v="133"/>
    <n v="16"/>
    <n v="0"/>
    <n v="14"/>
    <n v="0"/>
    <n v="0"/>
    <n v="103"/>
    <n v="0.38897264699547707"/>
    <n v="0.61102735300452293"/>
    <n v="307"/>
    <x v="46"/>
    <n v="2866"/>
    <n v="0.80869074492099324"/>
    <n v="0.80869074492099324"/>
    <n v="1075"/>
    <n v="603"/>
    <n v="90"/>
    <n v="65"/>
    <n v="270"/>
    <n v="6"/>
    <n v="41"/>
    <n v="358"/>
    <n v="37"/>
    <n v="0"/>
    <n v="6"/>
    <n v="133"/>
    <n v="0"/>
    <n v="13"/>
    <n v="169"/>
    <n v="0.617273314667241"/>
    <n v="0.382726685332759"/>
    <n v="339"/>
    <x v="45"/>
    <n v="1490"/>
    <n v="1"/>
    <n v="1"/>
    <n v="186"/>
    <n v="15"/>
    <n v="0"/>
    <n v="171"/>
    <n v="0"/>
    <n v="0"/>
    <n v="559"/>
    <n v="0"/>
    <n v="126"/>
    <n v="83"/>
    <n v="113"/>
    <n v="0"/>
    <n v="40"/>
    <n v="197"/>
    <n v="0.32091320267068707"/>
    <n v="0.67908679732931287"/>
    <n v="0"/>
    <m/>
  </r>
  <r>
    <x v="47"/>
    <n v="48"/>
    <n v="2572"/>
    <x v="23"/>
    <n v="840"/>
    <n v="393"/>
    <n v="126"/>
    <n v="0"/>
    <n v="0"/>
    <n v="267"/>
    <n v="0"/>
    <n v="0"/>
    <n v="27"/>
    <n v="0"/>
    <n v="0"/>
    <n v="0"/>
    <n v="0"/>
    <n v="0"/>
    <n v="27"/>
    <n v="0.32659409020217728"/>
    <n v="0.67340590979782267"/>
    <n v="0"/>
    <x v="47"/>
    <n v="1804"/>
    <n v="0.89306930693069309"/>
    <n v="0.89306930693069309"/>
    <n v="820"/>
    <n v="588"/>
    <n v="128"/>
    <n v="0"/>
    <n v="104"/>
    <n v="0"/>
    <n v="0"/>
    <n v="82"/>
    <n v="58"/>
    <n v="0"/>
    <n v="0"/>
    <n v="0"/>
    <n v="0"/>
    <n v="24"/>
    <n v="0.7013996889580093"/>
    <n v="0.2986003110419907"/>
    <n v="108"/>
    <x v="47"/>
    <n v="1374"/>
    <n v="0.89220779220779223"/>
    <n v="0.89220779220779223"/>
    <n v="572"/>
    <n v="349"/>
    <n v="67"/>
    <n v="23"/>
    <n v="123"/>
    <n v="0"/>
    <n v="10"/>
    <n v="115"/>
    <n v="0"/>
    <n v="20"/>
    <n v="0"/>
    <n v="17"/>
    <n v="0"/>
    <n v="0"/>
    <n v="78"/>
    <n v="0.53421461897356148"/>
    <n v="0.46578538102643852"/>
    <n v="83"/>
    <x v="46"/>
    <n v="744"/>
    <n v="1"/>
    <n v="1"/>
    <n v="55"/>
    <n v="3"/>
    <n v="0"/>
    <n v="52"/>
    <n v="0"/>
    <n v="0"/>
    <n v="317"/>
    <n v="0"/>
    <n v="87"/>
    <n v="115"/>
    <n v="16"/>
    <n v="0"/>
    <n v="0"/>
    <n v="99"/>
    <n v="0.28926905132192848"/>
    <n v="0.71073094867807152"/>
    <n v="0"/>
    <m/>
  </r>
  <r>
    <x v="48"/>
    <n v="49"/>
    <n v="1944"/>
    <x v="47"/>
    <n v="580"/>
    <n v="276"/>
    <n v="150"/>
    <n v="20"/>
    <n v="0"/>
    <n v="106"/>
    <n v="0"/>
    <n v="0"/>
    <n v="14"/>
    <n v="8"/>
    <n v="0"/>
    <n v="6"/>
    <n v="0"/>
    <n v="0"/>
    <n v="0"/>
    <n v="0.29835390946502055"/>
    <n v="0.70164609053497951"/>
    <n v="0"/>
    <x v="48"/>
    <n v="940"/>
    <n v="0.75562700964630225"/>
    <n v="0.75562700964630225"/>
    <n v="444"/>
    <n v="380"/>
    <n v="46"/>
    <n v="1"/>
    <n v="17"/>
    <n v="0"/>
    <n v="0"/>
    <n v="26"/>
    <n v="18"/>
    <n v="0"/>
    <n v="7"/>
    <n v="0"/>
    <n v="0"/>
    <n v="1"/>
    <n v="0.48353909465020578"/>
    <n v="0.51646090534979416"/>
    <n v="152"/>
    <x v="48"/>
    <n v="1396"/>
    <n v="0.89258312020460362"/>
    <n v="0.89258312020460362"/>
    <n v="570"/>
    <n v="318"/>
    <n v="79"/>
    <n v="10"/>
    <n v="108"/>
    <n v="0"/>
    <n v="55"/>
    <n v="128"/>
    <n v="24"/>
    <n v="0"/>
    <n v="15"/>
    <n v="63"/>
    <n v="0"/>
    <n v="0"/>
    <n v="26"/>
    <n v="0.71810699588477367"/>
    <n v="0.28189300411522633"/>
    <n v="84"/>
    <x v="47"/>
    <n v="500"/>
    <n v="1"/>
    <n v="1"/>
    <n v="141"/>
    <n v="0"/>
    <n v="0"/>
    <n v="141"/>
    <n v="0"/>
    <n v="0"/>
    <n v="109"/>
    <n v="0"/>
    <n v="29"/>
    <n v="0"/>
    <n v="17"/>
    <n v="0"/>
    <n v="9"/>
    <n v="54"/>
    <n v="0.25720164609053497"/>
    <n v="0.74279835390946503"/>
    <n v="0"/>
    <m/>
  </r>
  <r>
    <x v="49"/>
    <n v="50"/>
    <n v="4060"/>
    <x v="48"/>
    <n v="1918"/>
    <n v="911"/>
    <n v="135"/>
    <n v="35"/>
    <n v="11"/>
    <n v="730"/>
    <n v="0"/>
    <n v="0"/>
    <n v="48"/>
    <n v="27"/>
    <n v="0"/>
    <n v="0"/>
    <n v="0"/>
    <n v="0"/>
    <n v="21"/>
    <n v="0.47241379310344828"/>
    <n v="0.52758620689655178"/>
    <n v="59"/>
    <x v="49"/>
    <n v="1790"/>
    <n v="0.76758147512864494"/>
    <n v="0.76758147512864494"/>
    <n v="838"/>
    <n v="545"/>
    <n v="30"/>
    <n v="0"/>
    <n v="248"/>
    <n v="15"/>
    <n v="0"/>
    <n v="57"/>
    <n v="29"/>
    <n v="0"/>
    <n v="2"/>
    <n v="0"/>
    <n v="6"/>
    <n v="20"/>
    <n v="0.44088669950738918"/>
    <n v="0.55911330049261077"/>
    <n v="271"/>
    <x v="49"/>
    <n v="2352"/>
    <n v="0.84482758620689657"/>
    <n v="0.84482758620689657"/>
    <n v="953"/>
    <n v="704"/>
    <n v="73"/>
    <n v="12"/>
    <n v="150"/>
    <n v="0"/>
    <n v="14"/>
    <n v="223"/>
    <n v="62"/>
    <n v="12"/>
    <n v="12"/>
    <n v="41"/>
    <n v="0"/>
    <n v="0"/>
    <n v="96"/>
    <n v="0.57931034482758625"/>
    <n v="0.42068965517241375"/>
    <n v="216"/>
    <x v="48"/>
    <n v="968"/>
    <n v="1"/>
    <n v="1"/>
    <n v="69"/>
    <n v="22"/>
    <n v="0"/>
    <n v="47"/>
    <n v="0"/>
    <n v="0"/>
    <n v="415"/>
    <n v="0"/>
    <n v="65"/>
    <n v="172"/>
    <n v="72"/>
    <n v="0"/>
    <n v="8"/>
    <n v="98"/>
    <n v="0.23842364532019705"/>
    <n v="0.76157635467980289"/>
    <n v="0"/>
    <m/>
  </r>
  <r>
    <x v="50"/>
    <n v="51"/>
    <n v="1755"/>
    <x v="49"/>
    <n v="412"/>
    <n v="201"/>
    <n v="65"/>
    <n v="12"/>
    <n v="0"/>
    <n v="124"/>
    <n v="0"/>
    <n v="0"/>
    <n v="5"/>
    <n v="5"/>
    <n v="0"/>
    <n v="0"/>
    <n v="0"/>
    <n v="0"/>
    <n v="0"/>
    <n v="0.23475783475783477"/>
    <n v="0.76524216524216526"/>
    <n v="5"/>
    <x v="50"/>
    <n v="720"/>
    <n v="0.8"/>
    <n v="0.8"/>
    <n v="342"/>
    <n v="135"/>
    <n v="88"/>
    <n v="0"/>
    <n v="112"/>
    <n v="7"/>
    <n v="0"/>
    <n v="18"/>
    <n v="6"/>
    <n v="0"/>
    <n v="12"/>
    <n v="0"/>
    <n v="0"/>
    <n v="0"/>
    <n v="0.41025641025641024"/>
    <n v="0.58974358974358976"/>
    <n v="90"/>
    <x v="50"/>
    <n v="1258"/>
    <n v="0.87482614742698195"/>
    <n v="0.87482614742698195"/>
    <n v="495"/>
    <n v="266"/>
    <n v="58"/>
    <n v="5"/>
    <n v="166"/>
    <n v="0"/>
    <n v="0"/>
    <n v="134"/>
    <n v="17"/>
    <n v="0"/>
    <n v="0"/>
    <n v="41"/>
    <n v="5"/>
    <n v="0"/>
    <n v="71"/>
    <n v="0.71680911680911685"/>
    <n v="0.28319088319088315"/>
    <n v="90"/>
    <x v="49"/>
    <n v="744"/>
    <n v="0.99199999999999999"/>
    <n v="0.99199999999999999"/>
    <n v="131"/>
    <n v="7"/>
    <n v="0"/>
    <n v="124"/>
    <n v="0"/>
    <n v="0"/>
    <n v="241"/>
    <n v="0"/>
    <n v="3"/>
    <n v="26"/>
    <n v="125"/>
    <n v="0"/>
    <n v="31"/>
    <n v="56"/>
    <n v="0.42393162393162392"/>
    <n v="0.57606837606837602"/>
    <n v="3"/>
    <m/>
  </r>
  <r>
    <x v="51"/>
    <n v="52"/>
    <n v="3262"/>
    <x v="50"/>
    <n v="1018"/>
    <n v="467"/>
    <n v="343"/>
    <n v="10"/>
    <n v="0"/>
    <n v="114"/>
    <n v="0"/>
    <n v="0"/>
    <n v="42"/>
    <n v="0"/>
    <n v="0"/>
    <n v="0"/>
    <n v="0"/>
    <n v="0"/>
    <n v="42"/>
    <n v="0.31207847946045369"/>
    <n v="0.68792152053954636"/>
    <n v="10"/>
    <x v="51"/>
    <n v="1446"/>
    <n v="0.81694915254237288"/>
    <n v="0.81694915254237288"/>
    <n v="723"/>
    <n v="563"/>
    <n v="71"/>
    <n v="0"/>
    <n v="81"/>
    <n v="0"/>
    <n v="8"/>
    <n v="0"/>
    <n v="0"/>
    <n v="0"/>
    <n v="0"/>
    <n v="0"/>
    <n v="0"/>
    <n v="0"/>
    <n v="0.44328632740649909"/>
    <n v="0.55671367259350091"/>
    <n v="162"/>
    <x v="51"/>
    <n v="2274"/>
    <n v="0.87193251533742333"/>
    <n v="0.87193251533742333"/>
    <n v="1011"/>
    <n v="832"/>
    <n v="72"/>
    <n v="32"/>
    <n v="52"/>
    <n v="8"/>
    <n v="15"/>
    <n v="126"/>
    <n v="7"/>
    <n v="0"/>
    <n v="0"/>
    <n v="28"/>
    <n v="0"/>
    <n v="9"/>
    <n v="82"/>
    <n v="0.69711833231146536"/>
    <n v="0.30288166768853464"/>
    <n v="167"/>
    <x v="50"/>
    <n v="1108"/>
    <n v="1"/>
    <n v="1"/>
    <n v="154"/>
    <n v="0"/>
    <n v="0"/>
    <n v="154"/>
    <n v="0"/>
    <n v="0"/>
    <n v="400"/>
    <n v="0"/>
    <n v="101"/>
    <n v="100"/>
    <n v="78"/>
    <n v="0"/>
    <n v="10"/>
    <n v="111"/>
    <n v="0.33966891477621092"/>
    <n v="0.66033108522378914"/>
    <n v="0"/>
    <m/>
  </r>
  <r>
    <x v="52"/>
    <n v="53"/>
    <n v="3399"/>
    <x v="51"/>
    <n v="1598"/>
    <n v="778"/>
    <n v="104"/>
    <n v="12"/>
    <n v="0"/>
    <n v="662"/>
    <n v="0"/>
    <n v="0"/>
    <n v="21"/>
    <n v="0"/>
    <n v="0"/>
    <n v="0"/>
    <n v="0"/>
    <n v="0"/>
    <n v="21"/>
    <n v="0.4701382759635187"/>
    <n v="0.52986172403648135"/>
    <n v="41"/>
    <x v="52"/>
    <n v="1510"/>
    <n v="0.71699905033238365"/>
    <n v="0.71699905033238365"/>
    <n v="732"/>
    <n v="360"/>
    <n v="41"/>
    <n v="0"/>
    <n v="306"/>
    <n v="25"/>
    <n v="0"/>
    <n v="23"/>
    <n v="0"/>
    <n v="0"/>
    <n v="0"/>
    <n v="9"/>
    <n v="0"/>
    <n v="14"/>
    <n v="0.44424830832597823"/>
    <n v="0.55575169167402172"/>
    <n v="298"/>
    <x v="52"/>
    <n v="1970"/>
    <n v="0.82982308340353839"/>
    <n v="0.82982308340353839"/>
    <n v="842"/>
    <n v="360"/>
    <n v="120"/>
    <n v="49"/>
    <n v="284"/>
    <n v="18"/>
    <n v="11"/>
    <n v="143"/>
    <n v="7"/>
    <n v="10"/>
    <n v="0"/>
    <n v="51"/>
    <n v="0"/>
    <n v="0"/>
    <n v="75"/>
    <n v="0.57958223006766696"/>
    <n v="0.42041776993233304"/>
    <n v="202"/>
    <x v="51"/>
    <n v="638"/>
    <n v="1"/>
    <n v="1"/>
    <n v="84"/>
    <n v="0"/>
    <n v="0"/>
    <n v="84"/>
    <n v="0"/>
    <n v="0"/>
    <n v="235"/>
    <n v="0"/>
    <n v="53"/>
    <n v="83"/>
    <n v="64"/>
    <n v="0"/>
    <n v="0"/>
    <n v="35"/>
    <n v="0.18770226537216828"/>
    <n v="0.81229773462783172"/>
    <n v="0"/>
    <m/>
  </r>
  <r>
    <x v="53"/>
    <n v="54"/>
    <n v="8719"/>
    <x v="52"/>
    <n v="1840"/>
    <n v="854"/>
    <n v="389"/>
    <n v="0"/>
    <n v="0"/>
    <n v="465"/>
    <n v="0"/>
    <n v="0"/>
    <n v="66"/>
    <n v="0"/>
    <n v="0"/>
    <n v="0"/>
    <n v="0"/>
    <n v="0"/>
    <n v="66"/>
    <n v="0.21103337538708566"/>
    <n v="0.78896662461291434"/>
    <n v="42"/>
    <x v="53"/>
    <n v="6340"/>
    <n v="0.82984293193717273"/>
    <n v="0.82984293193717273"/>
    <n v="3022"/>
    <n v="2349"/>
    <n v="324"/>
    <n v="5"/>
    <n v="321"/>
    <n v="23"/>
    <n v="0"/>
    <n v="148"/>
    <n v="58"/>
    <n v="0"/>
    <n v="47"/>
    <n v="21"/>
    <n v="0"/>
    <n v="22"/>
    <n v="0.72714760867071915"/>
    <n v="0.27285239132928085"/>
    <n v="650"/>
    <x v="53"/>
    <n v="4484"/>
    <n v="0.86865555986051923"/>
    <n v="0.86865555986051923"/>
    <n v="2014"/>
    <n v="1459"/>
    <n v="184"/>
    <n v="23"/>
    <n v="314"/>
    <n v="0"/>
    <n v="34"/>
    <n v="228"/>
    <n v="62"/>
    <n v="30"/>
    <n v="0"/>
    <n v="59"/>
    <n v="0"/>
    <n v="18"/>
    <n v="59"/>
    <n v="0.51427916045418054"/>
    <n v="0.48572083954581946"/>
    <n v="339"/>
    <x v="52"/>
    <n v="2712"/>
    <n v="1"/>
    <n v="1"/>
    <n v="266"/>
    <n v="10"/>
    <n v="0"/>
    <n v="237"/>
    <n v="0"/>
    <n v="19"/>
    <n v="1090"/>
    <n v="0"/>
    <n v="173"/>
    <n v="488"/>
    <n v="82"/>
    <n v="0"/>
    <n v="0"/>
    <n v="347"/>
    <n v="0.31104484459226978"/>
    <n v="0.68895515540773022"/>
    <n v="0"/>
    <m/>
  </r>
  <r>
    <x v="54"/>
    <n v="55"/>
    <n v="598"/>
    <x v="53"/>
    <n v="240"/>
    <n v="92"/>
    <n v="30"/>
    <n v="0"/>
    <n v="0"/>
    <n v="62"/>
    <n v="0"/>
    <n v="0"/>
    <n v="28"/>
    <n v="0"/>
    <n v="0"/>
    <n v="0"/>
    <n v="0"/>
    <n v="0"/>
    <n v="28"/>
    <n v="0.40133779264214048"/>
    <n v="0.59866220735785958"/>
    <n v="0"/>
    <x v="54"/>
    <n v="198"/>
    <n v="0.6387096774193548"/>
    <n v="0.6387096774193548"/>
    <n v="99"/>
    <n v="77"/>
    <n v="0"/>
    <n v="0"/>
    <n v="22"/>
    <n v="0"/>
    <n v="0"/>
    <n v="0"/>
    <n v="0"/>
    <n v="0"/>
    <n v="0"/>
    <n v="0"/>
    <n v="0"/>
    <n v="0"/>
    <n v="0.33110367892976589"/>
    <n v="0.66889632107023411"/>
    <n v="56"/>
    <x v="54"/>
    <n v="460"/>
    <n v="0.88122605363984674"/>
    <n v="0.88122605363984674"/>
    <n v="213"/>
    <n v="181"/>
    <n v="8"/>
    <n v="0"/>
    <n v="24"/>
    <n v="0"/>
    <n v="0"/>
    <n v="17"/>
    <n v="0"/>
    <n v="0"/>
    <n v="0"/>
    <n v="0"/>
    <n v="0"/>
    <n v="0"/>
    <n v="17"/>
    <n v="0.76923076923076927"/>
    <n v="0.23076923076923073"/>
    <n v="31"/>
    <x v="36"/>
    <n v="124"/>
    <n v="1"/>
    <n v="1"/>
    <n v="0"/>
    <n v="0"/>
    <n v="0"/>
    <n v="0"/>
    <n v="0"/>
    <n v="0"/>
    <n v="62"/>
    <n v="0"/>
    <n v="13"/>
    <n v="17"/>
    <n v="0"/>
    <n v="0"/>
    <n v="5"/>
    <n v="27"/>
    <n v="0.20735785953177258"/>
    <n v="0.79264214046822745"/>
    <n v="0"/>
    <m/>
  </r>
  <r>
    <x v="55"/>
    <n v="56"/>
    <n v="973"/>
    <x v="49"/>
    <n v="422"/>
    <n v="208"/>
    <n v="183"/>
    <n v="0"/>
    <n v="5"/>
    <n v="20"/>
    <n v="0"/>
    <n v="0"/>
    <n v="3"/>
    <n v="0"/>
    <n v="0"/>
    <n v="0"/>
    <n v="0"/>
    <n v="0"/>
    <n v="3"/>
    <n v="0.43371017471736895"/>
    <n v="0.56628982528263105"/>
    <n v="0"/>
    <x v="55"/>
    <n v="254"/>
    <n v="0.96212121212121215"/>
    <n v="0.96212121212121215"/>
    <n v="127"/>
    <n v="114"/>
    <n v="3"/>
    <n v="0"/>
    <n v="10"/>
    <n v="0"/>
    <n v="0"/>
    <n v="0"/>
    <n v="0"/>
    <n v="0"/>
    <n v="0"/>
    <n v="0"/>
    <n v="0"/>
    <n v="0"/>
    <n v="0.26104830421377184"/>
    <n v="0.7389516957862281"/>
    <n v="5"/>
    <x v="55"/>
    <n v="890"/>
    <n v="0.98669623059866962"/>
    <n v="0.98669623059866962"/>
    <n v="422"/>
    <n v="395"/>
    <n v="2"/>
    <n v="12"/>
    <n v="13"/>
    <n v="0"/>
    <n v="0"/>
    <n v="23"/>
    <n v="0"/>
    <n v="0"/>
    <n v="8"/>
    <n v="0"/>
    <n v="3"/>
    <n v="0"/>
    <n v="12"/>
    <n v="0.91469681397738956"/>
    <n v="8.5303186022610444E-2"/>
    <n v="6"/>
    <x v="53"/>
    <n v="358"/>
    <n v="1"/>
    <n v="1"/>
    <n v="62"/>
    <n v="12"/>
    <n v="0"/>
    <n v="50"/>
    <n v="0"/>
    <n v="0"/>
    <n v="117"/>
    <n v="0"/>
    <n v="65"/>
    <n v="20"/>
    <n v="4"/>
    <n v="0"/>
    <n v="0"/>
    <n v="28"/>
    <n v="0.36793422404933196"/>
    <n v="0.63206577595066804"/>
    <n v="0"/>
    <m/>
  </r>
  <r>
    <x v="56"/>
    <n v="57"/>
    <n v="9593"/>
    <x v="54"/>
    <n v="630"/>
    <n v="315"/>
    <n v="161"/>
    <n v="39"/>
    <n v="0"/>
    <n v="115"/>
    <n v="0"/>
    <n v="0"/>
    <n v="0"/>
    <n v="0"/>
    <n v="0"/>
    <n v="0"/>
    <n v="0"/>
    <n v="0"/>
    <n v="0"/>
    <n v="6.5672886479724801E-2"/>
    <n v="0.9343271135202752"/>
    <n v="0"/>
    <x v="56"/>
    <n v="14272"/>
    <n v="0.97300245432233434"/>
    <n v="0.97300245432233434"/>
    <n v="6823"/>
    <n v="5124"/>
    <n v="1496"/>
    <n v="0"/>
    <n v="176"/>
    <n v="27"/>
    <n v="0"/>
    <n v="313"/>
    <n v="218"/>
    <n v="0"/>
    <n v="0"/>
    <n v="33"/>
    <n v="0"/>
    <n v="62"/>
    <n v="1.4877514854581466"/>
    <n v="-0.48775148545814662"/>
    <n v="198"/>
    <x v="56"/>
    <n v="1446"/>
    <n v="0.92101910828025479"/>
    <n v="0.92101910828025479"/>
    <n v="593"/>
    <n v="327"/>
    <n v="120"/>
    <n v="40"/>
    <n v="86"/>
    <n v="0"/>
    <n v="20"/>
    <n v="130"/>
    <n v="18"/>
    <n v="0"/>
    <n v="0"/>
    <n v="37"/>
    <n v="0"/>
    <n v="3"/>
    <n v="72"/>
    <n v="0.1507349108725112"/>
    <n v="0.84926508912748877"/>
    <n v="62"/>
    <x v="54"/>
    <n v="2318"/>
    <n v="1"/>
    <n v="1"/>
    <n v="356"/>
    <n v="9"/>
    <n v="0"/>
    <n v="347"/>
    <n v="0"/>
    <n v="0"/>
    <n v="803"/>
    <n v="0"/>
    <n v="158"/>
    <n v="233"/>
    <n v="52"/>
    <n v="0"/>
    <n v="11"/>
    <n v="349"/>
    <n v="0.24163452517460648"/>
    <n v="0.75836547482539352"/>
    <n v="0"/>
    <m/>
  </r>
  <r>
    <x v="57"/>
    <n v="58"/>
    <n v="205"/>
    <x v="55"/>
    <n v="24"/>
    <n v="12"/>
    <n v="0"/>
    <n v="12"/>
    <n v="0"/>
    <n v="0"/>
    <n v="0"/>
    <n v="0"/>
    <n v="0"/>
    <n v="0"/>
    <n v="0"/>
    <n v="0"/>
    <n v="0"/>
    <n v="0"/>
    <n v="0"/>
    <n v="0.11707317073170732"/>
    <n v="0.88292682926829269"/>
    <n v="0"/>
    <x v="57"/>
    <n v="196"/>
    <n v="0.84482758620689657"/>
    <n v="0.84482758620689657"/>
    <n v="98"/>
    <n v="98"/>
    <n v="0"/>
    <n v="0"/>
    <n v="0"/>
    <n v="0"/>
    <n v="0"/>
    <n v="0"/>
    <n v="0"/>
    <n v="0"/>
    <n v="0"/>
    <n v="0"/>
    <n v="0"/>
    <n v="0"/>
    <n v="0.95609756097560972"/>
    <n v="4.3902439024390283E-2"/>
    <n v="18"/>
    <x v="57"/>
    <n v="140"/>
    <n v="1"/>
    <n v="1"/>
    <n v="70"/>
    <n v="70"/>
    <n v="0"/>
    <n v="0"/>
    <n v="0"/>
    <n v="0"/>
    <n v="0"/>
    <n v="0"/>
    <n v="0"/>
    <n v="0"/>
    <n v="0"/>
    <n v="0"/>
    <n v="0"/>
    <n v="0"/>
    <n v="0"/>
    <n v="0.68292682926829273"/>
    <n v="0.31707317073170727"/>
    <n v="0"/>
    <x v="55"/>
    <n v="14"/>
    <n v="1"/>
    <n v="1"/>
    <n v="7"/>
    <n v="0"/>
    <n v="0"/>
    <n v="7"/>
    <n v="0"/>
    <n v="0"/>
    <n v="0"/>
    <n v="0"/>
    <n v="0"/>
    <n v="0"/>
    <n v="0"/>
    <n v="0"/>
    <n v="0"/>
    <n v="0"/>
    <n v="6.8292682926829273E-2"/>
    <n v="0.93170731707317067"/>
    <n v="0"/>
    <m/>
  </r>
  <r>
    <x v="58"/>
    <n v="59"/>
    <n v="1545"/>
    <x v="56"/>
    <n v="1406"/>
    <n v="639"/>
    <n v="32"/>
    <n v="21"/>
    <n v="0"/>
    <n v="586"/>
    <n v="0"/>
    <n v="0"/>
    <n v="64"/>
    <n v="0"/>
    <n v="0"/>
    <n v="58"/>
    <n v="0"/>
    <n v="0"/>
    <n v="6"/>
    <n v="0.91003236245954688"/>
    <n v="8.9967637540453116E-2"/>
    <n v="5"/>
    <x v="58"/>
    <n v="604"/>
    <n v="0.6175869120654397"/>
    <n v="0.6175869120654397"/>
    <n v="295"/>
    <n v="8"/>
    <n v="5"/>
    <n v="0"/>
    <n v="282"/>
    <n v="0"/>
    <n v="0"/>
    <n v="7"/>
    <n v="0"/>
    <n v="0"/>
    <n v="7"/>
    <n v="0"/>
    <n v="0"/>
    <n v="0"/>
    <n v="0.39093851132686086"/>
    <n v="0.60906148867313914"/>
    <n v="187"/>
    <x v="58"/>
    <n v="374"/>
    <n v="0.76954732510288071"/>
    <n v="0.76954732510288071"/>
    <n v="137"/>
    <n v="44"/>
    <n v="16"/>
    <n v="0"/>
    <n v="77"/>
    <n v="0"/>
    <n v="0"/>
    <n v="50"/>
    <n v="0"/>
    <n v="0"/>
    <n v="0"/>
    <n v="23"/>
    <n v="0"/>
    <n v="0"/>
    <n v="27"/>
    <n v="0.24207119741100325"/>
    <n v="0.75792880258899675"/>
    <n v="56"/>
    <x v="56"/>
    <n v="210"/>
    <n v="1"/>
    <n v="1"/>
    <n v="25"/>
    <n v="0"/>
    <n v="0"/>
    <n v="21"/>
    <n v="0"/>
    <n v="4"/>
    <n v="80"/>
    <n v="0"/>
    <n v="0"/>
    <n v="16"/>
    <n v="46"/>
    <n v="0"/>
    <n v="0"/>
    <n v="18"/>
    <n v="0.13592233009708737"/>
    <n v="0.86407766990291268"/>
    <n v="0"/>
    <m/>
  </r>
  <r>
    <x v="59"/>
    <n v="60"/>
    <n v="1058"/>
    <x v="57"/>
    <n v="286"/>
    <n v="124"/>
    <n v="57"/>
    <n v="0"/>
    <n v="0"/>
    <n v="67"/>
    <n v="0"/>
    <n v="0"/>
    <n v="19"/>
    <n v="0"/>
    <n v="0"/>
    <n v="0"/>
    <n v="0"/>
    <n v="0"/>
    <n v="19"/>
    <n v="0.27032136105860116"/>
    <n v="0.72967863894139884"/>
    <n v="4"/>
    <x v="59"/>
    <n v="474"/>
    <n v="0.74528301886792447"/>
    <n v="0.74528301886792447"/>
    <n v="215"/>
    <n v="201"/>
    <n v="8"/>
    <n v="0"/>
    <n v="6"/>
    <n v="0"/>
    <n v="0"/>
    <n v="22"/>
    <n v="0"/>
    <n v="0"/>
    <n v="0"/>
    <n v="0"/>
    <n v="0"/>
    <n v="22"/>
    <n v="0.44801512287334594"/>
    <n v="0.55198487712665401"/>
    <n v="81"/>
    <x v="59"/>
    <n v="682"/>
    <n v="0.85463659147869675"/>
    <n v="0.85463659147869675"/>
    <n v="288"/>
    <n v="217"/>
    <n v="27"/>
    <n v="5"/>
    <n v="39"/>
    <n v="0"/>
    <n v="0"/>
    <n v="53"/>
    <n v="5"/>
    <n v="0"/>
    <n v="6"/>
    <n v="33"/>
    <n v="9"/>
    <n v="0"/>
    <n v="0"/>
    <n v="0.64461247637051045"/>
    <n v="0.35538752362948955"/>
    <n v="58"/>
    <x v="57"/>
    <n v="388"/>
    <n v="1"/>
    <n v="1"/>
    <n v="48"/>
    <n v="6"/>
    <n v="0"/>
    <n v="42"/>
    <n v="0"/>
    <n v="0"/>
    <n v="146"/>
    <n v="0"/>
    <n v="31"/>
    <n v="61"/>
    <n v="16"/>
    <n v="0"/>
    <n v="0"/>
    <n v="38"/>
    <n v="0.3667296786389414"/>
    <n v="0.63327032136105865"/>
    <n v="0"/>
    <m/>
  </r>
  <r>
    <x v="60"/>
    <n v="61"/>
    <n v="3587"/>
    <x v="58"/>
    <n v="1014"/>
    <n v="486"/>
    <n v="206"/>
    <n v="0"/>
    <n v="0"/>
    <n v="280"/>
    <n v="0"/>
    <n v="0"/>
    <n v="21"/>
    <n v="0"/>
    <n v="0"/>
    <n v="0"/>
    <n v="4"/>
    <n v="0"/>
    <n v="17"/>
    <n v="0.28268748257596876"/>
    <n v="0.71731251742403124"/>
    <n v="113"/>
    <x v="60"/>
    <n v="1162"/>
    <n v="0.71113831089351287"/>
    <n v="0.71113831089351287"/>
    <n v="560"/>
    <n v="423"/>
    <n v="59"/>
    <n v="0"/>
    <n v="78"/>
    <n v="0"/>
    <n v="0"/>
    <n v="21"/>
    <n v="4"/>
    <n v="0"/>
    <n v="0"/>
    <n v="0"/>
    <n v="0"/>
    <n v="17"/>
    <n v="0.32394758851407862"/>
    <n v="0.67605241148592143"/>
    <n v="236"/>
    <x v="60"/>
    <n v="2576"/>
    <n v="0.87738419618528607"/>
    <n v="0.87738419618528607"/>
    <n v="1205"/>
    <n v="941"/>
    <n v="71"/>
    <n v="27"/>
    <n v="162"/>
    <n v="4"/>
    <n v="0"/>
    <n v="83"/>
    <n v="5"/>
    <n v="6"/>
    <n v="10"/>
    <n v="35"/>
    <n v="8"/>
    <n v="4"/>
    <n v="15"/>
    <n v="0.71814887092277668"/>
    <n v="0.28185112907722332"/>
    <n v="180"/>
    <x v="58"/>
    <n v="1364"/>
    <n v="1"/>
    <n v="1"/>
    <n v="115"/>
    <n v="10"/>
    <n v="0"/>
    <n v="105"/>
    <n v="0"/>
    <n v="0"/>
    <n v="567"/>
    <n v="0"/>
    <n v="185"/>
    <n v="171"/>
    <n v="29"/>
    <n v="0"/>
    <n v="10"/>
    <n v="172"/>
    <n v="0.38026205742960689"/>
    <n v="0.61973794257039305"/>
    <n v="0"/>
    <m/>
  </r>
  <r>
    <x v="61"/>
    <n v="62"/>
    <n v="3744"/>
    <x v="59"/>
    <n v="1280"/>
    <n v="628"/>
    <n v="422"/>
    <n v="0"/>
    <n v="0"/>
    <n v="206"/>
    <n v="0"/>
    <n v="0"/>
    <n v="12"/>
    <n v="0"/>
    <n v="0"/>
    <n v="0"/>
    <n v="0"/>
    <n v="0"/>
    <n v="12"/>
    <n v="0.34188034188034189"/>
    <n v="0.65811965811965811"/>
    <n v="0"/>
    <x v="61"/>
    <n v="1674"/>
    <n v="0.87460815047021945"/>
    <n v="0.87460815047021945"/>
    <n v="791"/>
    <n v="641"/>
    <n v="44"/>
    <n v="5"/>
    <n v="94"/>
    <n v="7"/>
    <n v="0"/>
    <n v="46"/>
    <n v="9"/>
    <n v="0"/>
    <n v="9"/>
    <n v="0"/>
    <n v="0"/>
    <n v="28"/>
    <n v="0.44711538461538464"/>
    <n v="0.55288461538461542"/>
    <n v="120"/>
    <x v="61"/>
    <n v="3032"/>
    <n v="0.89545186060248083"/>
    <n v="0.89545186060248083"/>
    <n v="1424"/>
    <n v="1151"/>
    <n v="73"/>
    <n v="46"/>
    <n v="142"/>
    <n v="0"/>
    <n v="12"/>
    <n v="92"/>
    <n v="12"/>
    <n v="19"/>
    <n v="0"/>
    <n v="0"/>
    <n v="5"/>
    <n v="0"/>
    <n v="56"/>
    <n v="0.80982905982905984"/>
    <n v="0.19017094017094016"/>
    <n v="177"/>
    <x v="59"/>
    <n v="908"/>
    <n v="1"/>
    <n v="1"/>
    <n v="107"/>
    <n v="24"/>
    <n v="0"/>
    <n v="83"/>
    <n v="0"/>
    <n v="0"/>
    <n v="347"/>
    <n v="0"/>
    <n v="116"/>
    <n v="71"/>
    <n v="84"/>
    <n v="0"/>
    <n v="5"/>
    <n v="71"/>
    <n v="0.24252136752136752"/>
    <n v="0.75747863247863245"/>
    <n v="0"/>
    <m/>
  </r>
  <r>
    <x v="62"/>
    <n v="63"/>
    <n v="3288"/>
    <x v="60"/>
    <n v="1626"/>
    <n v="771"/>
    <n v="112"/>
    <n v="17"/>
    <n v="0"/>
    <n v="642"/>
    <n v="0"/>
    <n v="0"/>
    <n v="42"/>
    <n v="0"/>
    <n v="0"/>
    <n v="0"/>
    <n v="8"/>
    <n v="0"/>
    <n v="34"/>
    <n v="0.49452554744525545"/>
    <n v="0.50547445255474455"/>
    <n v="16"/>
    <x v="62"/>
    <n v="1224"/>
    <n v="0.87303851640513552"/>
    <n v="0.87303851640513552"/>
    <n v="612"/>
    <n v="274"/>
    <n v="49"/>
    <n v="0"/>
    <n v="289"/>
    <n v="0"/>
    <n v="0"/>
    <n v="0"/>
    <n v="0"/>
    <n v="0"/>
    <n v="0"/>
    <n v="0"/>
    <n v="0"/>
    <n v="0"/>
    <n v="0.37226277372262773"/>
    <n v="0.62773722627737227"/>
    <n v="89"/>
    <x v="62"/>
    <n v="1950"/>
    <n v="0.81726739312657171"/>
    <n v="0.81726739312657171"/>
    <n v="720"/>
    <n v="501"/>
    <n v="27"/>
    <n v="66"/>
    <n v="126"/>
    <n v="0"/>
    <n v="0"/>
    <n v="255"/>
    <n v="46"/>
    <n v="18"/>
    <n v="0"/>
    <n v="77"/>
    <n v="36"/>
    <n v="0"/>
    <n v="78"/>
    <n v="0.59306569343065696"/>
    <n v="0.40693430656934304"/>
    <n v="218"/>
    <x v="60"/>
    <n v="1124"/>
    <n v="0.99469026548672568"/>
    <n v="0.99469026548672568"/>
    <n v="119"/>
    <n v="13"/>
    <n v="0"/>
    <n v="106"/>
    <n v="0"/>
    <n v="0"/>
    <n v="443"/>
    <n v="0"/>
    <n v="90"/>
    <n v="75"/>
    <n v="163"/>
    <n v="0"/>
    <n v="0"/>
    <n v="115"/>
    <n v="0.34184914841849151"/>
    <n v="0.65815085158150843"/>
    <n v="3"/>
    <m/>
  </r>
  <r>
    <x v="63"/>
    <n v="64"/>
    <n v="5414"/>
    <x v="61"/>
    <n v="2066"/>
    <n v="988"/>
    <n v="814"/>
    <n v="89"/>
    <n v="0"/>
    <n v="85"/>
    <n v="0"/>
    <n v="0"/>
    <n v="45"/>
    <n v="16"/>
    <n v="0"/>
    <n v="0"/>
    <n v="0"/>
    <n v="0"/>
    <n v="29"/>
    <n v="0.38160325083117841"/>
    <n v="0.61839674916882159"/>
    <n v="10"/>
    <x v="63"/>
    <n v="2222"/>
    <n v="0.94957264957264953"/>
    <n v="0.94957264957264953"/>
    <n v="1056"/>
    <n v="879"/>
    <n v="139"/>
    <n v="0"/>
    <n v="38"/>
    <n v="0"/>
    <n v="0"/>
    <n v="55"/>
    <n v="42"/>
    <n v="0"/>
    <n v="0"/>
    <n v="0"/>
    <n v="0"/>
    <n v="13"/>
    <n v="0.41041743627632066"/>
    <n v="0.58958256372367934"/>
    <n v="59"/>
    <x v="63"/>
    <n v="4444"/>
    <n v="0.95652173913043481"/>
    <n v="0.95652173913043481"/>
    <n v="2084"/>
    <n v="1791"/>
    <n v="213"/>
    <n v="32"/>
    <n v="48"/>
    <n v="0"/>
    <n v="0"/>
    <n v="138"/>
    <n v="73"/>
    <n v="8"/>
    <n v="0"/>
    <n v="13"/>
    <n v="7"/>
    <n v="0"/>
    <n v="37"/>
    <n v="0.82083487255264131"/>
    <n v="0.17916512744735869"/>
    <n v="101"/>
    <x v="61"/>
    <n v="1756"/>
    <n v="1"/>
    <n v="1"/>
    <n v="228"/>
    <n v="30"/>
    <n v="5"/>
    <n v="193"/>
    <n v="0"/>
    <n v="0"/>
    <n v="650"/>
    <n v="0"/>
    <n v="306"/>
    <n v="214"/>
    <n v="10"/>
    <n v="0"/>
    <n v="8"/>
    <n v="112"/>
    <n v="0.32434429257480607"/>
    <n v="0.67565570742519387"/>
    <n v="0"/>
    <m/>
  </r>
  <r>
    <x v="64"/>
    <n v="65"/>
    <n v="1714"/>
    <x v="62"/>
    <n v="254"/>
    <n v="127"/>
    <n v="68"/>
    <n v="8"/>
    <n v="11"/>
    <n v="40"/>
    <n v="0"/>
    <n v="0"/>
    <n v="0"/>
    <n v="0"/>
    <n v="0"/>
    <n v="0"/>
    <n v="0"/>
    <n v="0"/>
    <n v="0"/>
    <n v="0.14819136522753792"/>
    <n v="0.85180863477246205"/>
    <n v="0"/>
    <x v="64"/>
    <n v="1320"/>
    <n v="0.95238095238095233"/>
    <n v="0.95238095238095233"/>
    <n v="610"/>
    <n v="449"/>
    <n v="105"/>
    <n v="0"/>
    <n v="56"/>
    <n v="0"/>
    <n v="0"/>
    <n v="50"/>
    <n v="18"/>
    <n v="0"/>
    <n v="0"/>
    <n v="0"/>
    <n v="0"/>
    <n v="32"/>
    <n v="0.77012835472578767"/>
    <n v="0.22987164527421233"/>
    <n v="33"/>
    <x v="64"/>
    <n v="1144"/>
    <n v="0.82183908045977017"/>
    <n v="0.82183908045977017"/>
    <n v="483"/>
    <n v="390"/>
    <n v="76"/>
    <n v="7"/>
    <n v="10"/>
    <n v="0"/>
    <n v="0"/>
    <n v="89"/>
    <n v="46"/>
    <n v="0"/>
    <n v="0"/>
    <n v="0"/>
    <n v="0"/>
    <n v="43"/>
    <n v="0"/>
    <n v="0.66744457409568259"/>
    <n v="0.33255542590431741"/>
    <n v="124"/>
    <x v="62"/>
    <n v="396"/>
    <n v="1"/>
    <n v="1"/>
    <n v="60"/>
    <n v="9"/>
    <n v="0"/>
    <n v="51"/>
    <n v="0"/>
    <n v="0"/>
    <n v="138"/>
    <n v="0"/>
    <n v="69"/>
    <n v="12"/>
    <n v="52"/>
    <n v="0"/>
    <n v="0"/>
    <n v="5"/>
    <n v="0.23103850641773629"/>
    <n v="0.76896149358226373"/>
    <n v="0"/>
    <m/>
  </r>
  <r>
    <x v="65"/>
    <n v="66"/>
    <n v="1331"/>
    <x v="63"/>
    <n v="190"/>
    <n v="88"/>
    <n v="53"/>
    <n v="11"/>
    <n v="0"/>
    <n v="24"/>
    <n v="0"/>
    <n v="0"/>
    <n v="7"/>
    <n v="0"/>
    <n v="0"/>
    <n v="0"/>
    <n v="0"/>
    <n v="0"/>
    <n v="7"/>
    <n v="0.14274981217129978"/>
    <n v="0.85725018782870022"/>
    <n v="0"/>
    <x v="58"/>
    <n v="662"/>
    <n v="0.67689161554192234"/>
    <n v="0.67689161554192234"/>
    <n v="327"/>
    <n v="252"/>
    <n v="32"/>
    <n v="0"/>
    <n v="43"/>
    <n v="0"/>
    <n v="0"/>
    <n v="4"/>
    <n v="0"/>
    <n v="0"/>
    <n v="0"/>
    <n v="4"/>
    <n v="0"/>
    <n v="0"/>
    <n v="0.49737039819684448"/>
    <n v="0.50262960180315552"/>
    <n v="158"/>
    <x v="65"/>
    <n v="930"/>
    <n v="0.85477941176470584"/>
    <n v="0.85477941176470584"/>
    <n v="413"/>
    <n v="287"/>
    <n v="86"/>
    <n v="4"/>
    <n v="36"/>
    <n v="0"/>
    <n v="0"/>
    <n v="52"/>
    <n v="28"/>
    <n v="0"/>
    <n v="6"/>
    <n v="12"/>
    <n v="0"/>
    <n v="0"/>
    <n v="6"/>
    <n v="0.69872276483846729"/>
    <n v="0.30127723516153271"/>
    <n v="79"/>
    <x v="63"/>
    <n v="406"/>
    <n v="1"/>
    <n v="1"/>
    <n v="53"/>
    <n v="0"/>
    <n v="20"/>
    <n v="33"/>
    <n v="0"/>
    <n v="0"/>
    <n v="150"/>
    <n v="0"/>
    <n v="29"/>
    <n v="62"/>
    <n v="27"/>
    <n v="0"/>
    <n v="5"/>
    <n v="27"/>
    <n v="0.30503380916604056"/>
    <n v="0.6949661908339595"/>
    <n v="0"/>
    <m/>
  </r>
  <r>
    <x v="66"/>
    <n v="67"/>
    <n v="1033"/>
    <x v="64"/>
    <n v="426"/>
    <n v="213"/>
    <n v="184"/>
    <n v="11"/>
    <n v="0"/>
    <n v="18"/>
    <n v="0"/>
    <n v="0"/>
    <n v="0"/>
    <n v="0"/>
    <n v="0"/>
    <n v="0"/>
    <n v="0"/>
    <n v="0"/>
    <n v="0"/>
    <n v="0.41239109390125844"/>
    <n v="0.5876089060987415"/>
    <n v="0"/>
    <x v="65"/>
    <n v="486"/>
    <n v="1"/>
    <n v="1"/>
    <n v="243"/>
    <n v="183"/>
    <n v="34"/>
    <n v="0"/>
    <n v="26"/>
    <n v="0"/>
    <n v="0"/>
    <n v="0"/>
    <n v="0"/>
    <n v="0"/>
    <n v="0"/>
    <n v="0"/>
    <n v="0"/>
    <n v="0"/>
    <n v="0.47047434656340753"/>
    <n v="0.52952565343659241"/>
    <n v="0"/>
    <x v="66"/>
    <n v="714"/>
    <n v="0.94195250659630603"/>
    <n v="0.94195250659630603"/>
    <n v="341"/>
    <n v="271"/>
    <n v="49"/>
    <n v="7"/>
    <n v="14"/>
    <n v="0"/>
    <n v="0"/>
    <n v="16"/>
    <n v="7"/>
    <n v="0"/>
    <n v="0"/>
    <n v="0"/>
    <n v="0"/>
    <n v="0"/>
    <n v="9"/>
    <n v="0.69119070667957405"/>
    <n v="0.30880929332042595"/>
    <n v="22"/>
    <x v="62"/>
    <n v="396"/>
    <n v="1"/>
    <n v="1"/>
    <n v="54"/>
    <n v="4"/>
    <n v="0"/>
    <n v="50"/>
    <n v="0"/>
    <n v="0"/>
    <n v="144"/>
    <n v="0"/>
    <n v="34"/>
    <n v="84"/>
    <n v="0"/>
    <n v="0"/>
    <n v="5"/>
    <n v="21"/>
    <n v="0.38334946757018395"/>
    <n v="0.61665053242981605"/>
    <n v="0"/>
    <m/>
  </r>
  <r>
    <x v="67"/>
    <n v="68"/>
    <n v="314"/>
    <x v="65"/>
    <n v="74"/>
    <n v="37"/>
    <n v="9"/>
    <n v="0"/>
    <n v="0"/>
    <n v="0"/>
    <n v="28"/>
    <n v="0"/>
    <n v="0"/>
    <n v="0"/>
    <n v="0"/>
    <n v="0"/>
    <n v="0"/>
    <n v="0"/>
    <n v="0"/>
    <n v="0.2356687898089172"/>
    <n v="0.76433121019108285"/>
    <n v="0"/>
    <x v="20"/>
    <n v="132"/>
    <n v="1"/>
    <n v="1"/>
    <n v="66"/>
    <n v="66"/>
    <n v="0"/>
    <n v="0"/>
    <n v="0"/>
    <n v="0"/>
    <n v="0"/>
    <n v="0"/>
    <n v="0"/>
    <n v="0"/>
    <n v="0"/>
    <n v="0"/>
    <n v="0"/>
    <n v="0"/>
    <n v="0.42038216560509556"/>
    <n v="0.57961783439490444"/>
    <n v="0"/>
    <x v="67"/>
    <n v="242"/>
    <n v="0.89629629629629626"/>
    <n v="0.89629629629629626"/>
    <n v="115"/>
    <n v="80"/>
    <n v="32"/>
    <n v="3"/>
    <n v="0"/>
    <n v="0"/>
    <n v="0"/>
    <n v="6"/>
    <n v="0"/>
    <n v="0"/>
    <n v="0"/>
    <n v="0"/>
    <n v="0"/>
    <n v="0"/>
    <n v="6"/>
    <n v="0.77070063694267521"/>
    <n v="0.22929936305732479"/>
    <n v="14"/>
    <x v="64"/>
    <n v="152"/>
    <n v="1"/>
    <n v="1"/>
    <n v="7"/>
    <n v="0"/>
    <n v="0"/>
    <n v="7"/>
    <n v="0"/>
    <n v="0"/>
    <n v="69"/>
    <n v="0"/>
    <n v="25"/>
    <n v="18"/>
    <n v="0"/>
    <n v="0"/>
    <n v="5"/>
    <n v="21"/>
    <n v="0.48407643312101911"/>
    <n v="0.51592356687898089"/>
    <n v="0"/>
    <m/>
  </r>
  <r>
    <x v="68"/>
    <n v="69"/>
    <n v="13194"/>
    <x v="51"/>
    <n v="1680"/>
    <n v="744"/>
    <n v="578"/>
    <n v="101"/>
    <n v="0"/>
    <n v="65"/>
    <n v="0"/>
    <n v="0"/>
    <n v="96"/>
    <n v="75"/>
    <n v="0"/>
    <n v="0"/>
    <n v="21"/>
    <n v="0"/>
    <n v="0"/>
    <n v="0.12733060482037289"/>
    <n v="0.87266939517962716"/>
    <n v="0"/>
    <x v="66"/>
    <n v="15278"/>
    <n v="0.94227211052177129"/>
    <n v="0.94227211052177129"/>
    <n v="7214"/>
    <n v="5539"/>
    <n v="1607"/>
    <n v="0"/>
    <n v="68"/>
    <n v="0"/>
    <n v="0"/>
    <n v="425"/>
    <n v="349"/>
    <n v="0"/>
    <n v="1"/>
    <n v="42"/>
    <n v="0"/>
    <n v="33"/>
    <n v="1.1579505835986055"/>
    <n v="-0.15795058359860548"/>
    <n v="468"/>
    <x v="68"/>
    <n v="5734"/>
    <n v="0.953125"/>
    <n v="0.953125"/>
    <n v="2561"/>
    <n v="2069"/>
    <n v="394"/>
    <n v="11"/>
    <n v="79"/>
    <n v="0"/>
    <n v="8"/>
    <n v="306"/>
    <n v="157"/>
    <n v="12"/>
    <n v="11"/>
    <n v="31"/>
    <n v="11"/>
    <n v="0"/>
    <n v="84"/>
    <n v="0.43459148097620132"/>
    <n v="0.56540851902379874"/>
    <n v="141"/>
    <x v="65"/>
    <n v="2478"/>
    <n v="1"/>
    <n v="1"/>
    <n v="373"/>
    <n v="71"/>
    <n v="12"/>
    <n v="290"/>
    <n v="0"/>
    <n v="0"/>
    <n v="866"/>
    <n v="0"/>
    <n v="273"/>
    <n v="333"/>
    <n v="30"/>
    <n v="0"/>
    <n v="8"/>
    <n v="222"/>
    <n v="0.18781264211005003"/>
    <n v="0.81218735788995"/>
    <n v="0"/>
    <m/>
  </r>
  <r>
    <x v="69"/>
    <n v="70"/>
    <n v="5684"/>
    <x v="66"/>
    <n v="3140"/>
    <n v="1502"/>
    <n v="472"/>
    <n v="39"/>
    <n v="0"/>
    <n v="991"/>
    <n v="0"/>
    <n v="0"/>
    <n v="68"/>
    <n v="0"/>
    <n v="0"/>
    <n v="14"/>
    <n v="0"/>
    <n v="0"/>
    <n v="54"/>
    <n v="0.5524278676988037"/>
    <n v="0.4475721323011963"/>
    <n v="24"/>
    <x v="67"/>
    <n v="1978"/>
    <n v="0.795016077170418"/>
    <n v="0.795016077170418"/>
    <n v="938"/>
    <n v="423"/>
    <n v="60"/>
    <n v="0"/>
    <n v="455"/>
    <n v="0"/>
    <n v="0"/>
    <n v="51"/>
    <n v="18"/>
    <n v="0"/>
    <n v="14"/>
    <n v="0"/>
    <n v="0"/>
    <n v="19"/>
    <n v="0.34799437016185786"/>
    <n v="0.65200562983814214"/>
    <n v="255"/>
    <x v="69"/>
    <n v="3988"/>
    <n v="0.88938447814451382"/>
    <n v="0.88938447814451382"/>
    <n v="1767"/>
    <n v="1298"/>
    <n v="96"/>
    <n v="29"/>
    <n v="304"/>
    <n v="17"/>
    <n v="23"/>
    <n v="227"/>
    <n v="9"/>
    <n v="0"/>
    <n v="16"/>
    <n v="59"/>
    <n v="0"/>
    <n v="11"/>
    <n v="132"/>
    <n v="0.70161857846586906"/>
    <n v="0.29838142153413094"/>
    <n v="248"/>
    <x v="66"/>
    <n v="1198"/>
    <n v="0.99172185430463577"/>
    <n v="0.99172185430463577"/>
    <n v="204"/>
    <n v="16"/>
    <n v="0"/>
    <n v="188"/>
    <n v="0"/>
    <n v="0"/>
    <n v="395"/>
    <n v="0"/>
    <n v="104"/>
    <n v="145"/>
    <n v="49"/>
    <n v="0"/>
    <n v="3"/>
    <n v="94"/>
    <n v="0.21076706544686841"/>
    <n v="0.78923293455313159"/>
    <n v="5"/>
    <m/>
  </r>
  <r>
    <x v="70"/>
    <n v="71"/>
    <n v="2872"/>
    <x v="67"/>
    <n v="448"/>
    <n v="143"/>
    <n v="121"/>
    <n v="0"/>
    <n v="0"/>
    <n v="22"/>
    <n v="0"/>
    <n v="0"/>
    <n v="81"/>
    <n v="0"/>
    <n v="0"/>
    <n v="68"/>
    <n v="0"/>
    <n v="0"/>
    <n v="13"/>
    <n v="0.15598885793871867"/>
    <n v="0.84401114206128136"/>
    <n v="0"/>
    <x v="68"/>
    <n v="3404"/>
    <n v="0.9497767857142857"/>
    <n v="0.9497767857142857"/>
    <n v="1666"/>
    <n v="1147"/>
    <n v="515"/>
    <n v="0"/>
    <n v="4"/>
    <n v="0"/>
    <n v="0"/>
    <n v="36"/>
    <n v="17"/>
    <n v="0"/>
    <n v="19"/>
    <n v="0"/>
    <n v="0"/>
    <n v="0"/>
    <n v="1.1852367688022285"/>
    <n v="-0.1852367688022285"/>
    <n v="90"/>
    <x v="70"/>
    <n v="1028"/>
    <n v="0.87863247863247862"/>
    <n v="0.87863247863247862"/>
    <n v="418"/>
    <n v="279"/>
    <n v="73"/>
    <n v="0"/>
    <n v="57"/>
    <n v="0"/>
    <n v="9"/>
    <n v="96"/>
    <n v="25"/>
    <n v="0"/>
    <n v="0"/>
    <n v="21"/>
    <n v="0"/>
    <n v="0"/>
    <n v="50"/>
    <n v="0.35793871866295263"/>
    <n v="0.64206128133704743"/>
    <n v="71"/>
    <x v="67"/>
    <n v="542"/>
    <n v="1"/>
    <n v="1"/>
    <n v="40"/>
    <n v="8"/>
    <n v="0"/>
    <n v="32"/>
    <n v="0"/>
    <n v="0"/>
    <n v="231"/>
    <n v="0"/>
    <n v="24"/>
    <n v="118"/>
    <n v="12"/>
    <n v="0"/>
    <n v="8"/>
    <n v="69"/>
    <n v="0.18871866295264625"/>
    <n v="0.81128133704735372"/>
    <n v="0"/>
    <m/>
  </r>
  <r>
    <x v="71"/>
    <n v="72"/>
    <n v="12"/>
    <x v="21"/>
    <n v="0"/>
    <n v="0"/>
    <n v="0"/>
    <n v="0"/>
    <n v="0"/>
    <n v="0"/>
    <n v="0"/>
    <n v="0"/>
    <n v="0"/>
    <n v="0"/>
    <n v="0"/>
    <n v="0"/>
    <n v="0"/>
    <n v="0"/>
    <n v="0"/>
    <n v="0"/>
    <n v="1"/>
    <n v="0"/>
    <x v="69"/>
    <n v="16"/>
    <n v="1"/>
    <n v="1"/>
    <n v="8"/>
    <n v="8"/>
    <n v="0"/>
    <n v="0"/>
    <n v="0"/>
    <n v="0"/>
    <n v="0"/>
    <n v="0"/>
    <n v="0"/>
    <n v="0"/>
    <n v="0"/>
    <n v="0"/>
    <n v="0"/>
    <n v="0"/>
    <n v="1.3333333333333333"/>
    <n v="-0.33333333333333326"/>
    <n v="0"/>
    <x v="71"/>
    <n v="8"/>
    <n v="1"/>
    <n v="1"/>
    <n v="4"/>
    <n v="4"/>
    <n v="0"/>
    <n v="0"/>
    <n v="0"/>
    <n v="0"/>
    <n v="0"/>
    <n v="0"/>
    <n v="0"/>
    <n v="0"/>
    <n v="0"/>
    <n v="0"/>
    <n v="0"/>
    <n v="0"/>
    <n v="0"/>
    <n v="0.66666666666666663"/>
    <n v="0.33333333333333337"/>
    <n v="0"/>
    <x v="68"/>
    <n v="0"/>
    <e v="#DIV/0!"/>
    <n v="0"/>
    <n v="0"/>
    <n v="0"/>
    <n v="0"/>
    <n v="0"/>
    <n v="0"/>
    <n v="0"/>
    <n v="0"/>
    <n v="0"/>
    <n v="0"/>
    <n v="0"/>
    <n v="0"/>
    <n v="0"/>
    <n v="0"/>
    <n v="0"/>
    <n v="0"/>
    <n v="1"/>
    <n v="0"/>
    <m/>
  </r>
  <r>
    <x v="72"/>
    <n v="73"/>
    <n v="6272"/>
    <x v="68"/>
    <n v="532"/>
    <n v="241"/>
    <n v="196"/>
    <n v="11"/>
    <n v="0"/>
    <n v="34"/>
    <n v="0"/>
    <n v="0"/>
    <n v="25"/>
    <n v="15"/>
    <n v="0"/>
    <n v="0"/>
    <n v="0"/>
    <n v="0"/>
    <n v="10"/>
    <n v="8.4821428571428575E-2"/>
    <n v="0.9151785714285714"/>
    <n v="0"/>
    <x v="70"/>
    <n v="6638"/>
    <n v="0.91609163676511174"/>
    <n v="0.91609163676511174"/>
    <n v="3211"/>
    <n v="2785"/>
    <n v="344"/>
    <n v="0"/>
    <n v="72"/>
    <n v="10"/>
    <n v="0"/>
    <n v="108"/>
    <n v="89"/>
    <n v="0"/>
    <n v="0"/>
    <n v="0"/>
    <n v="0"/>
    <n v="19"/>
    <n v="1.0583545918367347"/>
    <n v="-5.8354591836734748E-2"/>
    <n v="304"/>
    <x v="72"/>
    <n v="3026"/>
    <n v="0.92879066912216079"/>
    <n v="0.92879066912216079"/>
    <n v="1427"/>
    <n v="1185"/>
    <n v="129"/>
    <n v="8"/>
    <n v="95"/>
    <n v="0"/>
    <n v="10"/>
    <n v="86"/>
    <n v="27"/>
    <n v="0"/>
    <n v="10"/>
    <n v="16"/>
    <n v="0"/>
    <n v="25"/>
    <n v="8"/>
    <n v="0.48246173469387754"/>
    <n v="0.51753826530612246"/>
    <n v="116"/>
    <x v="69"/>
    <n v="1508"/>
    <n v="1"/>
    <n v="1"/>
    <n v="149"/>
    <n v="29"/>
    <n v="0"/>
    <n v="120"/>
    <n v="0"/>
    <n v="0"/>
    <n v="605"/>
    <n v="0"/>
    <n v="101"/>
    <n v="161"/>
    <n v="140"/>
    <n v="0"/>
    <n v="3"/>
    <n v="200"/>
    <n v="0.24043367346938777"/>
    <n v="0.75956632653061229"/>
    <n v="0"/>
    <m/>
  </r>
  <r>
    <x v="73"/>
    <n v="74"/>
    <n v="4583"/>
    <x v="69"/>
    <n v="786"/>
    <n v="356"/>
    <n v="156"/>
    <n v="0"/>
    <n v="0"/>
    <n v="200"/>
    <n v="0"/>
    <n v="0"/>
    <n v="37"/>
    <n v="0"/>
    <n v="0"/>
    <n v="0"/>
    <n v="7"/>
    <n v="0"/>
    <n v="30"/>
    <n v="0.17150338206415011"/>
    <n v="0.82849661793584994"/>
    <n v="40"/>
    <x v="71"/>
    <n v="3530"/>
    <n v="0.84449760765550241"/>
    <n v="0.84449760765550241"/>
    <n v="1722"/>
    <n v="1355"/>
    <n v="174"/>
    <n v="0"/>
    <n v="177"/>
    <n v="0"/>
    <n v="16"/>
    <n v="43"/>
    <n v="36"/>
    <n v="0"/>
    <n v="0"/>
    <n v="0"/>
    <n v="0"/>
    <n v="7"/>
    <n v="0.77023783547894398"/>
    <n v="0.22976216452105602"/>
    <n v="325"/>
    <x v="73"/>
    <n v="2700"/>
    <n v="0.84905660377358494"/>
    <n v="0.84905660377358494"/>
    <n v="1159"/>
    <n v="769"/>
    <n v="174"/>
    <n v="0"/>
    <n v="205"/>
    <n v="0"/>
    <n v="11"/>
    <n v="191"/>
    <n v="0"/>
    <n v="29"/>
    <n v="8"/>
    <n v="44"/>
    <n v="0"/>
    <n v="0"/>
    <n v="110"/>
    <n v="0.58913375518219502"/>
    <n v="0.41086624481780498"/>
    <n v="240"/>
    <x v="70"/>
    <n v="940"/>
    <n v="1"/>
    <n v="1"/>
    <n v="119"/>
    <n v="5"/>
    <n v="6"/>
    <n v="108"/>
    <n v="0"/>
    <n v="0"/>
    <n v="351"/>
    <n v="0"/>
    <n v="89"/>
    <n v="76"/>
    <n v="49"/>
    <n v="0"/>
    <n v="24"/>
    <n v="113"/>
    <n v="0.20510582587824569"/>
    <n v="0.79489417412175434"/>
    <n v="0"/>
    <m/>
  </r>
  <r>
    <x v="74"/>
    <n v="75"/>
    <n v="833"/>
    <x v="70"/>
    <n v="252"/>
    <n v="119"/>
    <n v="50"/>
    <n v="0"/>
    <n v="0"/>
    <n v="69"/>
    <n v="0"/>
    <n v="0"/>
    <n v="7"/>
    <n v="0"/>
    <n v="0"/>
    <n v="0"/>
    <n v="0"/>
    <n v="0"/>
    <n v="7"/>
    <n v="0.30252100840336132"/>
    <n v="0.69747899159663862"/>
    <n v="0"/>
    <x v="72"/>
    <n v="364"/>
    <n v="0.87081339712918659"/>
    <n v="0.87081339712918659"/>
    <n v="158"/>
    <n v="89"/>
    <n v="12"/>
    <n v="0"/>
    <n v="57"/>
    <n v="0"/>
    <n v="0"/>
    <n v="24"/>
    <n v="0"/>
    <n v="0"/>
    <n v="8"/>
    <n v="8"/>
    <n v="0"/>
    <n v="8"/>
    <n v="0.43697478991596639"/>
    <n v="0.56302521008403361"/>
    <n v="27"/>
    <x v="74"/>
    <n v="606"/>
    <n v="0.82336956521739135"/>
    <n v="0.82336956521739135"/>
    <n v="227"/>
    <n v="141"/>
    <n v="27"/>
    <n v="13"/>
    <n v="46"/>
    <n v="0"/>
    <n v="0"/>
    <n v="76"/>
    <n v="0"/>
    <n v="0"/>
    <n v="0"/>
    <n v="62"/>
    <n v="0"/>
    <n v="0"/>
    <n v="14"/>
    <n v="0.72749099639855941"/>
    <n v="0.27250900360144059"/>
    <n v="65"/>
    <x v="71"/>
    <n v="260"/>
    <n v="1"/>
    <n v="1"/>
    <n v="16"/>
    <n v="0"/>
    <n v="0"/>
    <n v="16"/>
    <n v="0"/>
    <n v="0"/>
    <n v="114"/>
    <n v="0"/>
    <n v="42"/>
    <n v="35"/>
    <n v="4"/>
    <n v="0"/>
    <n v="0"/>
    <n v="33"/>
    <n v="0.31212484993997597"/>
    <n v="0.68787515006002398"/>
    <n v="0"/>
    <m/>
  </r>
  <r>
    <x v="75"/>
    <n v="76"/>
    <n v="2363"/>
    <x v="71"/>
    <n v="1462"/>
    <n v="676"/>
    <n v="85"/>
    <n v="16"/>
    <n v="0"/>
    <n v="563"/>
    <n v="12"/>
    <n v="0"/>
    <n v="55"/>
    <n v="8"/>
    <n v="0"/>
    <n v="10"/>
    <n v="0"/>
    <n v="0"/>
    <n v="37"/>
    <n v="0.61870503597122306"/>
    <n v="0.38129496402877694"/>
    <n v="12"/>
    <x v="73"/>
    <n v="934"/>
    <n v="0.9247524752475248"/>
    <n v="0.9247524752475248"/>
    <n v="420"/>
    <n v="160"/>
    <n v="18"/>
    <n v="0"/>
    <n v="242"/>
    <n v="0"/>
    <n v="0"/>
    <n v="47"/>
    <n v="8"/>
    <n v="0"/>
    <n v="0"/>
    <n v="0"/>
    <n v="7"/>
    <n v="32"/>
    <n v="0.39526026237833262"/>
    <n v="0.60473973762166744"/>
    <n v="38"/>
    <x v="75"/>
    <n v="1280"/>
    <n v="0.81946222791293211"/>
    <n v="0.81946222791293211"/>
    <n v="580"/>
    <n v="466"/>
    <n v="58"/>
    <n v="6"/>
    <n v="39"/>
    <n v="11"/>
    <n v="0"/>
    <n v="60"/>
    <n v="8"/>
    <n v="7"/>
    <n v="27"/>
    <n v="9"/>
    <n v="0"/>
    <n v="0"/>
    <n v="9"/>
    <n v="0.54168429961912823"/>
    <n v="0.45831570038087177"/>
    <n v="141"/>
    <x v="72"/>
    <n v="668"/>
    <n v="1"/>
    <n v="1"/>
    <n v="44"/>
    <n v="27"/>
    <n v="0"/>
    <n v="17"/>
    <n v="0"/>
    <n v="0"/>
    <n v="290"/>
    <n v="0"/>
    <n v="46"/>
    <n v="86"/>
    <n v="39"/>
    <n v="0"/>
    <n v="17"/>
    <n v="102"/>
    <n v="0.28269149386373255"/>
    <n v="0.7173085061362674"/>
    <n v="0"/>
    <m/>
  </r>
  <r>
    <x v="76"/>
    <n v="77"/>
    <n v="11329"/>
    <x v="72"/>
    <n v="3014"/>
    <n v="1446"/>
    <n v="1234"/>
    <n v="88"/>
    <n v="0"/>
    <n v="115"/>
    <n v="9"/>
    <n v="0"/>
    <n v="61"/>
    <n v="25"/>
    <n v="0"/>
    <n v="0"/>
    <n v="10"/>
    <n v="0"/>
    <n v="26"/>
    <n v="0.26604289875540649"/>
    <n v="0.73395710124459357"/>
    <n v="12"/>
    <x v="74"/>
    <n v="11066"/>
    <n v="0.95892547660311955"/>
    <n v="0.95892547660311955"/>
    <n v="5248"/>
    <n v="3682"/>
    <n v="1391"/>
    <n v="0"/>
    <n v="174"/>
    <n v="1"/>
    <n v="0"/>
    <n v="285"/>
    <n v="220"/>
    <n v="9"/>
    <n v="0"/>
    <n v="22"/>
    <n v="0"/>
    <n v="34"/>
    <n v="0.97678524141583545"/>
    <n v="2.3214758584164552E-2"/>
    <n v="237"/>
    <x v="76"/>
    <n v="4962"/>
    <n v="0.95459792227779916"/>
    <n v="0.95459792227779916"/>
    <n v="2351"/>
    <n v="2012"/>
    <n v="273"/>
    <n v="9"/>
    <n v="39"/>
    <n v="18"/>
    <n v="0"/>
    <n v="130"/>
    <n v="66"/>
    <n v="0"/>
    <n v="0"/>
    <n v="12"/>
    <n v="0"/>
    <n v="0"/>
    <n v="52"/>
    <n v="0.43799099655750728"/>
    <n v="0.56200900344249272"/>
    <n v="118"/>
    <x v="73"/>
    <n v="2882"/>
    <n v="1"/>
    <n v="1"/>
    <n v="311"/>
    <n v="58"/>
    <n v="43"/>
    <n v="210"/>
    <n v="0"/>
    <n v="0"/>
    <n v="1130"/>
    <n v="0"/>
    <n v="430"/>
    <n v="342"/>
    <n v="13"/>
    <n v="8"/>
    <n v="11"/>
    <n v="326"/>
    <n v="0.25439138494130109"/>
    <n v="0.74560861505869891"/>
    <n v="0"/>
    <m/>
  </r>
  <r>
    <x v="77"/>
    <n v="78"/>
    <n v="15494"/>
    <x v="73"/>
    <n v="5066"/>
    <n v="2415"/>
    <n v="1938"/>
    <n v="210"/>
    <n v="0"/>
    <n v="267"/>
    <n v="0"/>
    <n v="0"/>
    <n v="118"/>
    <n v="0"/>
    <n v="0"/>
    <n v="0"/>
    <n v="0"/>
    <n v="0"/>
    <n v="118"/>
    <n v="0.32696527688137345"/>
    <n v="0.67303472311862655"/>
    <n v="54"/>
    <x v="75"/>
    <n v="9914"/>
    <n v="0.91525110782865582"/>
    <n v="0.91525110782865582"/>
    <n v="4641"/>
    <n v="3549"/>
    <n v="1019"/>
    <n v="0"/>
    <n v="53"/>
    <n v="20"/>
    <n v="0"/>
    <n v="316"/>
    <n v="184"/>
    <n v="0"/>
    <n v="0"/>
    <n v="0"/>
    <n v="0"/>
    <n v="132"/>
    <n v="0.63986059119659222"/>
    <n v="0.36013940880340778"/>
    <n v="459"/>
    <x v="77"/>
    <n v="9076"/>
    <n v="0.92104729044043032"/>
    <n v="0.92104729044043032"/>
    <n v="4185"/>
    <n v="3399"/>
    <n v="547"/>
    <n v="127"/>
    <n v="97"/>
    <n v="15"/>
    <n v="0"/>
    <n v="353"/>
    <n v="44"/>
    <n v="24"/>
    <n v="25"/>
    <n v="74"/>
    <n v="0"/>
    <n v="0"/>
    <n v="186"/>
    <n v="0.58577513876339227"/>
    <n v="0.41422486123660773"/>
    <n v="389"/>
    <x v="74"/>
    <n v="5074"/>
    <n v="0.98946957878315134"/>
    <n v="0.98946957878315134"/>
    <n v="818"/>
    <n v="159"/>
    <n v="23"/>
    <n v="636"/>
    <n v="0"/>
    <n v="0"/>
    <n v="1719"/>
    <n v="10"/>
    <n v="415"/>
    <n v="713"/>
    <n v="218"/>
    <n v="0"/>
    <n v="21"/>
    <n v="342"/>
    <n v="0.32748160578288371"/>
    <n v="0.67251839421711623"/>
    <n v="27"/>
    <m/>
  </r>
  <r>
    <x v="78"/>
    <n v="79"/>
    <n v="270"/>
    <x v="37"/>
    <n v="168"/>
    <n v="84"/>
    <n v="8"/>
    <n v="0"/>
    <n v="0"/>
    <n v="76"/>
    <n v="0"/>
    <n v="0"/>
    <n v="0"/>
    <n v="0"/>
    <n v="0"/>
    <n v="0"/>
    <n v="0"/>
    <n v="0"/>
    <n v="0"/>
    <n v="0.62222222222222223"/>
    <n v="0.37777777777777777"/>
    <n v="0"/>
    <x v="76"/>
    <n v="134"/>
    <n v="1"/>
    <n v="1"/>
    <n v="58"/>
    <n v="25"/>
    <n v="4"/>
    <n v="0"/>
    <n v="29"/>
    <n v="0"/>
    <n v="0"/>
    <n v="9"/>
    <n v="0"/>
    <n v="0"/>
    <n v="0"/>
    <n v="0"/>
    <n v="0"/>
    <n v="9"/>
    <n v="0.49629629629629629"/>
    <n v="0.50370370370370376"/>
    <n v="0"/>
    <x v="78"/>
    <n v="162"/>
    <n v="0.72972972972972971"/>
    <n v="0.72972972972972971"/>
    <n v="64"/>
    <n v="60"/>
    <n v="0"/>
    <n v="0"/>
    <n v="4"/>
    <n v="0"/>
    <n v="0"/>
    <n v="17"/>
    <n v="5"/>
    <n v="0"/>
    <n v="0"/>
    <n v="8"/>
    <n v="0"/>
    <n v="0"/>
    <n v="4"/>
    <n v="0.6"/>
    <n v="0.4"/>
    <n v="30"/>
    <x v="75"/>
    <n v="16"/>
    <n v="1"/>
    <n v="1"/>
    <n v="0"/>
    <n v="0"/>
    <n v="0"/>
    <n v="0"/>
    <n v="0"/>
    <n v="0"/>
    <n v="8"/>
    <n v="0"/>
    <n v="0"/>
    <n v="0"/>
    <n v="0"/>
    <n v="0"/>
    <n v="0"/>
    <n v="8"/>
    <n v="5.9259259259259262E-2"/>
    <n v="0.94074074074074077"/>
    <n v="0"/>
    <m/>
  </r>
  <r>
    <x v="79"/>
    <n v="80"/>
    <n v="4713"/>
    <x v="74"/>
    <n v="1626"/>
    <n v="742"/>
    <n v="442"/>
    <n v="43"/>
    <n v="0"/>
    <n v="257"/>
    <n v="0"/>
    <n v="0"/>
    <n v="71"/>
    <n v="11"/>
    <n v="0"/>
    <n v="0"/>
    <n v="0"/>
    <n v="0"/>
    <n v="60"/>
    <n v="0.34500318268618713"/>
    <n v="0.65499681731381287"/>
    <n v="53"/>
    <x v="52"/>
    <n v="1934"/>
    <n v="0.91832858499525161"/>
    <n v="0.91832858499525161"/>
    <n v="939"/>
    <n v="777"/>
    <n v="84"/>
    <n v="10"/>
    <n v="68"/>
    <n v="0"/>
    <n v="0"/>
    <n v="28"/>
    <n v="11"/>
    <n v="0"/>
    <n v="9"/>
    <n v="0"/>
    <n v="0"/>
    <n v="8"/>
    <n v="0.41035433906216845"/>
    <n v="0.58964566093783155"/>
    <n v="86"/>
    <x v="79"/>
    <n v="3612"/>
    <n v="0.92901234567901236"/>
    <n v="0.92901234567901236"/>
    <n v="1560"/>
    <n v="1328"/>
    <n v="129"/>
    <n v="26"/>
    <n v="68"/>
    <n v="0"/>
    <n v="9"/>
    <n v="246"/>
    <n v="63"/>
    <n v="6"/>
    <n v="26"/>
    <n v="45"/>
    <n v="0"/>
    <n v="10"/>
    <n v="96"/>
    <n v="0.76639083386378104"/>
    <n v="0.23360916613621896"/>
    <n v="138"/>
    <x v="76"/>
    <n v="1700"/>
    <n v="1"/>
    <n v="1"/>
    <n v="163"/>
    <n v="44"/>
    <n v="0"/>
    <n v="119"/>
    <n v="0"/>
    <n v="0"/>
    <n v="687"/>
    <n v="0"/>
    <n v="172"/>
    <n v="229"/>
    <n v="26"/>
    <n v="0"/>
    <n v="5"/>
    <n v="255"/>
    <n v="0.36070443454275408"/>
    <n v="0.63929556545724586"/>
    <n v="0"/>
    <m/>
  </r>
  <r>
    <x v="80"/>
    <n v="81"/>
    <n v="747"/>
    <x v="75"/>
    <n v="66"/>
    <n v="33"/>
    <n v="7"/>
    <n v="0"/>
    <n v="0"/>
    <n v="26"/>
    <n v="0"/>
    <n v="0"/>
    <n v="0"/>
    <n v="0"/>
    <n v="0"/>
    <n v="0"/>
    <n v="0"/>
    <n v="0"/>
    <n v="0"/>
    <n v="8.8353413654618476E-2"/>
    <n v="0.91164658634538154"/>
    <n v="0"/>
    <x v="77"/>
    <n v="744"/>
    <n v="1"/>
    <n v="1"/>
    <n v="372"/>
    <n v="336"/>
    <n v="32"/>
    <n v="0"/>
    <n v="4"/>
    <n v="0"/>
    <n v="0"/>
    <n v="0"/>
    <n v="0"/>
    <n v="0"/>
    <n v="0"/>
    <n v="0"/>
    <n v="0"/>
    <n v="0"/>
    <n v="0.99598393574297184"/>
    <n v="4.0160642570281624E-3"/>
    <n v="0"/>
    <x v="80"/>
    <n v="524"/>
    <n v="0.91289198606271782"/>
    <n v="0.91289198606271782"/>
    <n v="253"/>
    <n v="241"/>
    <n v="6"/>
    <n v="6"/>
    <n v="0"/>
    <n v="0"/>
    <n v="0"/>
    <n v="9"/>
    <n v="7"/>
    <n v="0"/>
    <n v="0"/>
    <n v="2"/>
    <n v="0"/>
    <n v="0"/>
    <n v="0"/>
    <n v="0.70147255689424359"/>
    <n v="0.29852744310575641"/>
    <n v="25"/>
    <x v="77"/>
    <n v="110"/>
    <n v="1"/>
    <n v="1"/>
    <n v="26"/>
    <n v="2"/>
    <n v="0"/>
    <n v="24"/>
    <n v="0"/>
    <n v="0"/>
    <n v="29"/>
    <n v="0"/>
    <n v="15"/>
    <n v="0"/>
    <n v="0"/>
    <n v="0"/>
    <n v="0"/>
    <n v="14"/>
    <n v="0.14725568942436412"/>
    <n v="0.85274431057563582"/>
    <n v="0"/>
    <m/>
  </r>
  <r>
    <x v="81"/>
    <n v="82"/>
    <n v="1191"/>
    <x v="76"/>
    <n v="454"/>
    <n v="223"/>
    <n v="128"/>
    <n v="40"/>
    <n v="0"/>
    <n v="55"/>
    <n v="0"/>
    <n v="0"/>
    <n v="4"/>
    <n v="4"/>
    <n v="0"/>
    <n v="0"/>
    <n v="0"/>
    <n v="0"/>
    <n v="0"/>
    <n v="0.3811922753988245"/>
    <n v="0.6188077246011755"/>
    <n v="0"/>
    <x v="78"/>
    <n v="464"/>
    <n v="0.80836236933797911"/>
    <n v="0.80836236933797911"/>
    <n v="220"/>
    <n v="194"/>
    <n v="15"/>
    <n v="0"/>
    <n v="5"/>
    <n v="0"/>
    <n v="6"/>
    <n v="12"/>
    <n v="5"/>
    <n v="0"/>
    <n v="0"/>
    <n v="0"/>
    <n v="0"/>
    <n v="7"/>
    <n v="0.38958858102434929"/>
    <n v="0.61041141897565065"/>
    <n v="55"/>
    <x v="81"/>
    <n v="900"/>
    <n v="0.92402464065708423"/>
    <n v="0.92402464065708423"/>
    <n v="420"/>
    <n v="389"/>
    <n v="26"/>
    <n v="0"/>
    <n v="5"/>
    <n v="0"/>
    <n v="0"/>
    <n v="30"/>
    <n v="9"/>
    <n v="0"/>
    <n v="0"/>
    <n v="7"/>
    <n v="0"/>
    <n v="0"/>
    <n v="14"/>
    <n v="0.75566750629722923"/>
    <n v="0.24433249370277077"/>
    <n v="37"/>
    <x v="78"/>
    <n v="380"/>
    <n v="1"/>
    <n v="1"/>
    <n v="49"/>
    <n v="7"/>
    <n v="6"/>
    <n v="36"/>
    <n v="0"/>
    <n v="0"/>
    <n v="141"/>
    <n v="0"/>
    <n v="35"/>
    <n v="67"/>
    <n v="7"/>
    <n v="0"/>
    <n v="0"/>
    <n v="32"/>
    <n v="0.31905961376994124"/>
    <n v="0.6809403862300587"/>
    <n v="0"/>
    <m/>
  </r>
  <r>
    <x v="82"/>
    <n v="83"/>
    <n v="1345"/>
    <x v="77"/>
    <n v="536"/>
    <n v="264"/>
    <n v="215"/>
    <n v="0"/>
    <n v="0"/>
    <n v="49"/>
    <n v="0"/>
    <n v="0"/>
    <n v="4"/>
    <n v="0"/>
    <n v="4"/>
    <n v="0"/>
    <n v="0"/>
    <n v="0"/>
    <n v="0"/>
    <n v="0.39851301115241633"/>
    <n v="0.60148698884758367"/>
    <n v="0"/>
    <x v="79"/>
    <n v="516"/>
    <n v="0.97727272727272729"/>
    <n v="0.97727272727272729"/>
    <n v="258"/>
    <n v="202"/>
    <n v="17"/>
    <n v="0"/>
    <n v="20"/>
    <n v="0"/>
    <n v="19"/>
    <n v="0"/>
    <n v="0"/>
    <n v="0"/>
    <n v="0"/>
    <n v="0"/>
    <n v="0"/>
    <n v="0"/>
    <n v="0.38364312267657991"/>
    <n v="0.61635687732342004"/>
    <n v="6"/>
    <x v="82"/>
    <n v="1158"/>
    <n v="0.94299674267100975"/>
    <n v="0.94299674267100975"/>
    <n v="553"/>
    <n v="468"/>
    <n v="52"/>
    <n v="5"/>
    <n v="22"/>
    <n v="0"/>
    <n v="6"/>
    <n v="26"/>
    <n v="5"/>
    <n v="4"/>
    <n v="4"/>
    <n v="1"/>
    <n v="0"/>
    <n v="0"/>
    <n v="12"/>
    <n v="0.86096654275092932"/>
    <n v="0.13903345724907068"/>
    <n v="35"/>
    <x v="79"/>
    <n v="398"/>
    <n v="1"/>
    <n v="1"/>
    <n v="60"/>
    <n v="0"/>
    <n v="0"/>
    <n v="60"/>
    <n v="0"/>
    <n v="0"/>
    <n v="139"/>
    <n v="0"/>
    <n v="64"/>
    <n v="28"/>
    <n v="7"/>
    <n v="0"/>
    <n v="11"/>
    <n v="29"/>
    <n v="0.295910780669145"/>
    <n v="0.704089219330855"/>
    <n v="0"/>
    <m/>
  </r>
  <r>
    <x v="83"/>
    <n v="84"/>
    <n v="2292"/>
    <x v="78"/>
    <n v="390"/>
    <n v="195"/>
    <n v="62"/>
    <n v="9"/>
    <n v="0"/>
    <n v="124"/>
    <n v="0"/>
    <n v="0"/>
    <n v="0"/>
    <n v="0"/>
    <n v="0"/>
    <n v="0"/>
    <n v="0"/>
    <n v="0"/>
    <n v="0"/>
    <n v="0.17015706806282724"/>
    <n v="0.82984293193717273"/>
    <n v="67"/>
    <x v="80"/>
    <n v="2584"/>
    <n v="0.9396363636363636"/>
    <n v="0.9396363636363636"/>
    <n v="1184"/>
    <n v="854"/>
    <n v="187"/>
    <n v="0"/>
    <n v="143"/>
    <n v="0"/>
    <n v="0"/>
    <n v="108"/>
    <n v="108"/>
    <n v="0"/>
    <n v="0"/>
    <n v="0"/>
    <n v="0"/>
    <n v="0"/>
    <n v="1.1273996509598603"/>
    <n v="-0.12739965095986028"/>
    <n v="83"/>
    <x v="83"/>
    <n v="802"/>
    <n v="0.91552511415525117"/>
    <n v="0.91552511415525117"/>
    <n v="313"/>
    <n v="108"/>
    <n v="16"/>
    <n v="8"/>
    <n v="162"/>
    <n v="0"/>
    <n v="19"/>
    <n v="88"/>
    <n v="11"/>
    <n v="0"/>
    <n v="0"/>
    <n v="58"/>
    <n v="0"/>
    <n v="0"/>
    <n v="19"/>
    <n v="0.34991273996509598"/>
    <n v="0.65008726003490402"/>
    <n v="37"/>
    <x v="80"/>
    <n v="434"/>
    <n v="1"/>
    <n v="1"/>
    <n v="64"/>
    <n v="0"/>
    <n v="0"/>
    <n v="64"/>
    <n v="0"/>
    <n v="0"/>
    <n v="153"/>
    <n v="0"/>
    <n v="25"/>
    <n v="15"/>
    <n v="76"/>
    <n v="0"/>
    <n v="0"/>
    <n v="37"/>
    <n v="0.18935427574171029"/>
    <n v="0.81064572425828973"/>
    <n v="0"/>
    <m/>
  </r>
  <r>
    <x v="84"/>
    <n v="85"/>
    <n v="2283"/>
    <x v="79"/>
    <n v="640"/>
    <n v="320"/>
    <n v="60"/>
    <n v="0"/>
    <n v="0"/>
    <n v="260"/>
    <n v="0"/>
    <n v="0"/>
    <n v="0"/>
    <n v="0"/>
    <n v="0"/>
    <n v="0"/>
    <n v="0"/>
    <n v="0"/>
    <n v="0"/>
    <n v="0.28033289531318439"/>
    <n v="0.71966710468681561"/>
    <n v="0"/>
    <x v="81"/>
    <n v="1304"/>
    <n v="0.90429958391123444"/>
    <n v="0.90429958391123444"/>
    <n v="605"/>
    <n v="452"/>
    <n v="17"/>
    <n v="0"/>
    <n v="123"/>
    <n v="13"/>
    <n v="0"/>
    <n v="47"/>
    <n v="27"/>
    <n v="0"/>
    <n v="7"/>
    <n v="0"/>
    <n v="0"/>
    <n v="13"/>
    <n v="0.57117827420061318"/>
    <n v="0.42882172579938682"/>
    <n v="69"/>
    <x v="84"/>
    <n v="1632"/>
    <n v="0.89768976897689767"/>
    <n v="0.89768976897689767"/>
    <n v="720"/>
    <n v="590"/>
    <n v="91"/>
    <n v="9"/>
    <n v="20"/>
    <n v="0"/>
    <n v="10"/>
    <n v="96"/>
    <n v="14"/>
    <n v="0"/>
    <n v="10"/>
    <n v="41"/>
    <n v="0"/>
    <n v="0"/>
    <n v="31"/>
    <n v="0.71484888304862026"/>
    <n v="0.28515111695137974"/>
    <n v="93"/>
    <x v="81"/>
    <n v="666"/>
    <n v="1"/>
    <n v="1"/>
    <n v="71"/>
    <n v="22"/>
    <n v="0"/>
    <n v="49"/>
    <n v="0"/>
    <n v="0"/>
    <n v="262"/>
    <n v="0"/>
    <n v="29"/>
    <n v="169"/>
    <n v="15"/>
    <n v="0"/>
    <n v="7"/>
    <n v="42"/>
    <n v="0.29172141918528255"/>
    <n v="0.7082785808147174"/>
    <n v="0"/>
    <m/>
  </r>
  <r>
    <x v="85"/>
    <n v="86"/>
    <n v="1864"/>
    <x v="80"/>
    <n v="508"/>
    <n v="239"/>
    <n v="33"/>
    <n v="0"/>
    <n v="0"/>
    <n v="206"/>
    <n v="0"/>
    <n v="0"/>
    <n v="15"/>
    <n v="0"/>
    <n v="0"/>
    <n v="0"/>
    <n v="0"/>
    <n v="0"/>
    <n v="15"/>
    <n v="0.27253218884120173"/>
    <n v="0.72746781115879822"/>
    <n v="0"/>
    <x v="82"/>
    <n v="596"/>
    <n v="0.64086021505376345"/>
    <n v="0.64086021505376345"/>
    <n v="298"/>
    <n v="70"/>
    <n v="119"/>
    <n v="0"/>
    <n v="109"/>
    <n v="0"/>
    <n v="0"/>
    <n v="0"/>
    <n v="0"/>
    <n v="0"/>
    <n v="0"/>
    <n v="0"/>
    <n v="0"/>
    <n v="0"/>
    <n v="0.31974248927038629"/>
    <n v="0.68025751072961371"/>
    <n v="167"/>
    <x v="85"/>
    <n v="1274"/>
    <n v="0.82619974059662771"/>
    <n v="0.82619974059662771"/>
    <n v="598"/>
    <n v="383"/>
    <n v="19"/>
    <n v="0"/>
    <n v="181"/>
    <n v="0"/>
    <n v="15"/>
    <n v="39"/>
    <n v="0"/>
    <n v="0"/>
    <n v="0"/>
    <n v="7"/>
    <n v="0"/>
    <n v="15"/>
    <n v="17"/>
    <n v="0.6834763948497854"/>
    <n v="0.3165236051502146"/>
    <n v="134"/>
    <x v="82"/>
    <n v="748"/>
    <n v="1"/>
    <n v="1"/>
    <n v="32"/>
    <n v="3"/>
    <n v="0"/>
    <n v="29"/>
    <n v="0"/>
    <n v="0"/>
    <n v="342"/>
    <n v="0"/>
    <n v="105"/>
    <n v="86"/>
    <n v="78"/>
    <n v="0"/>
    <n v="0"/>
    <n v="73"/>
    <n v="0.40128755364806867"/>
    <n v="0.59871244635193133"/>
    <n v="0"/>
    <m/>
  </r>
  <r>
    <x v="86"/>
    <n v="87"/>
    <n v="2754"/>
    <x v="81"/>
    <n v="932"/>
    <n v="466"/>
    <n v="148"/>
    <n v="24"/>
    <n v="0"/>
    <n v="294"/>
    <n v="0"/>
    <n v="0"/>
    <n v="0"/>
    <n v="0"/>
    <n v="0"/>
    <n v="0"/>
    <n v="0"/>
    <n v="0"/>
    <n v="0"/>
    <n v="0.33841684822076978"/>
    <n v="0.66158315177923022"/>
    <n v="56"/>
    <x v="83"/>
    <n v="1786"/>
    <n v="0.83380018674136325"/>
    <n v="0.83380018674136325"/>
    <n v="862"/>
    <n v="641"/>
    <n v="145"/>
    <n v="19"/>
    <n v="57"/>
    <n v="0"/>
    <n v="0"/>
    <n v="31"/>
    <n v="0"/>
    <n v="0"/>
    <n v="0"/>
    <n v="0"/>
    <n v="0"/>
    <n v="31"/>
    <n v="0.64851125635439366"/>
    <n v="0.35148874364560634"/>
    <n v="178"/>
    <x v="86"/>
    <n v="1294"/>
    <n v="0.7842424242424243"/>
    <n v="0.7842424242424243"/>
    <n v="598"/>
    <n v="446"/>
    <n v="70"/>
    <n v="15"/>
    <n v="62"/>
    <n v="0"/>
    <n v="5"/>
    <n v="49"/>
    <n v="2"/>
    <n v="0"/>
    <n v="5"/>
    <n v="0"/>
    <n v="0"/>
    <n v="9"/>
    <n v="33"/>
    <n v="0.46986201888162671"/>
    <n v="0.53013798111837329"/>
    <n v="178"/>
    <x v="83"/>
    <n v="672"/>
    <n v="1"/>
    <n v="1"/>
    <n v="77"/>
    <n v="25"/>
    <n v="0"/>
    <n v="52"/>
    <n v="0"/>
    <n v="0"/>
    <n v="259"/>
    <n v="0"/>
    <n v="54"/>
    <n v="64"/>
    <n v="32"/>
    <n v="0"/>
    <n v="0"/>
    <n v="109"/>
    <n v="0.24400871459694989"/>
    <n v="0.75599128540305016"/>
    <n v="0"/>
    <m/>
  </r>
  <r>
    <x v="87"/>
    <n v="88"/>
    <n v="235"/>
    <x v="21"/>
    <n v="0"/>
    <n v="0"/>
    <n v="0"/>
    <n v="0"/>
    <n v="0"/>
    <n v="0"/>
    <n v="0"/>
    <n v="0"/>
    <n v="0"/>
    <n v="0"/>
    <n v="0"/>
    <n v="0"/>
    <n v="0"/>
    <n v="0"/>
    <n v="0"/>
    <n v="0"/>
    <n v="1"/>
    <n v="0"/>
    <x v="84"/>
    <n v="176"/>
    <n v="0.61111111111111116"/>
    <n v="0.61111111111111116"/>
    <n v="78"/>
    <n v="78"/>
    <n v="0"/>
    <n v="0"/>
    <n v="0"/>
    <n v="0"/>
    <n v="0"/>
    <n v="10"/>
    <n v="0"/>
    <n v="0"/>
    <n v="10"/>
    <n v="0"/>
    <n v="0"/>
    <n v="0"/>
    <n v="0.74893617021276593"/>
    <n v="0.25106382978723407"/>
    <n v="56"/>
    <x v="87"/>
    <n v="104"/>
    <n v="0.78787878787878785"/>
    <n v="0.78787878787878785"/>
    <n v="39"/>
    <n v="35"/>
    <n v="4"/>
    <n v="0"/>
    <n v="0"/>
    <n v="0"/>
    <n v="0"/>
    <n v="13"/>
    <n v="0"/>
    <n v="0"/>
    <n v="4"/>
    <n v="0"/>
    <n v="0"/>
    <n v="0"/>
    <n v="9"/>
    <n v="0.44255319148936167"/>
    <n v="0.55744680851063833"/>
    <n v="14"/>
    <x v="84"/>
    <n v="50"/>
    <n v="1"/>
    <n v="1"/>
    <n v="4"/>
    <n v="0"/>
    <n v="0"/>
    <n v="4"/>
    <n v="0"/>
    <n v="0"/>
    <n v="21"/>
    <n v="0"/>
    <n v="3"/>
    <n v="7"/>
    <n v="0"/>
    <n v="0"/>
    <n v="0"/>
    <n v="11"/>
    <n v="0.21276595744680851"/>
    <n v="0.78723404255319152"/>
    <n v="0"/>
    <m/>
  </r>
  <r>
    <x v="88"/>
    <n v="89"/>
    <n v="1667"/>
    <x v="82"/>
    <n v="438"/>
    <n v="158"/>
    <n v="37"/>
    <n v="0"/>
    <n v="6"/>
    <n v="115"/>
    <n v="0"/>
    <n v="0"/>
    <n v="61"/>
    <n v="3"/>
    <n v="0"/>
    <n v="27"/>
    <n v="0"/>
    <n v="0"/>
    <n v="31"/>
    <n v="0.26274745050989801"/>
    <n v="0.73725254949010199"/>
    <n v="0"/>
    <x v="85"/>
    <n v="1662"/>
    <n v="0.90424374319912948"/>
    <n v="0.90424374319912948"/>
    <n v="768"/>
    <n v="424"/>
    <n v="208"/>
    <n v="0"/>
    <n v="136"/>
    <n v="0"/>
    <n v="0"/>
    <n v="63"/>
    <n v="35"/>
    <n v="0"/>
    <n v="22"/>
    <n v="0"/>
    <n v="0"/>
    <n v="6"/>
    <n v="0.99700059988002399"/>
    <n v="2.9994001199760145E-3"/>
    <n v="88"/>
    <x v="88"/>
    <n v="652"/>
    <n v="0.84020618556701032"/>
    <n v="0.84020618556701032"/>
    <n v="274"/>
    <n v="104"/>
    <n v="25"/>
    <n v="11"/>
    <n v="127"/>
    <n v="7"/>
    <n v="0"/>
    <n v="52"/>
    <n v="0"/>
    <n v="0"/>
    <n v="0"/>
    <n v="0"/>
    <n v="0"/>
    <n v="0"/>
    <n v="52"/>
    <n v="0.39112177564487105"/>
    <n v="0.60887822435512895"/>
    <n v="62"/>
    <x v="85"/>
    <n v="282"/>
    <n v="1"/>
    <n v="1"/>
    <n v="21"/>
    <n v="0"/>
    <n v="0"/>
    <n v="21"/>
    <n v="0"/>
    <n v="0"/>
    <n v="120"/>
    <n v="0"/>
    <n v="24"/>
    <n v="36"/>
    <n v="0"/>
    <n v="0"/>
    <n v="0"/>
    <n v="60"/>
    <n v="0.16916616676664667"/>
    <n v="0.83083383323335336"/>
    <n v="0"/>
    <m/>
  </r>
  <r>
    <x v="89"/>
    <n v="90"/>
    <n v="3511"/>
    <x v="83"/>
    <n v="1206"/>
    <n v="568"/>
    <n v="342"/>
    <n v="0"/>
    <n v="0"/>
    <n v="226"/>
    <n v="0"/>
    <n v="0"/>
    <n v="35"/>
    <n v="0"/>
    <n v="0"/>
    <n v="0"/>
    <n v="0"/>
    <n v="0"/>
    <n v="35"/>
    <n v="0.34349188265451436"/>
    <n v="0.65650811734548564"/>
    <n v="129"/>
    <x v="86"/>
    <n v="1388"/>
    <n v="0.76940133037694014"/>
    <n v="0.76940133037694014"/>
    <n v="676"/>
    <n v="457"/>
    <n v="76"/>
    <n v="0"/>
    <n v="143"/>
    <n v="0"/>
    <n v="0"/>
    <n v="18"/>
    <n v="18"/>
    <n v="0"/>
    <n v="0"/>
    <n v="0"/>
    <n v="0"/>
    <n v="0"/>
    <n v="0.39532896610652235"/>
    <n v="0.60467103389347765"/>
    <n v="208"/>
    <x v="89"/>
    <n v="2430"/>
    <n v="0.86661911554921545"/>
    <n v="0.86661911554921545"/>
    <n v="1144"/>
    <n v="909"/>
    <n v="122"/>
    <n v="34"/>
    <n v="79"/>
    <n v="0"/>
    <n v="0"/>
    <n v="71"/>
    <n v="8"/>
    <n v="0"/>
    <n v="20"/>
    <n v="12"/>
    <n v="0"/>
    <n v="0"/>
    <n v="31"/>
    <n v="0.69211050982626032"/>
    <n v="0.30788949017373968"/>
    <n v="187"/>
    <x v="86"/>
    <n v="950"/>
    <n v="1"/>
    <n v="1"/>
    <n v="110"/>
    <n v="11"/>
    <n v="0"/>
    <n v="99"/>
    <n v="0"/>
    <n v="0"/>
    <n v="365"/>
    <n v="0"/>
    <n v="67"/>
    <n v="158"/>
    <n v="9"/>
    <n v="0"/>
    <n v="40"/>
    <n v="91"/>
    <n v="0.27057818285388779"/>
    <n v="0.72942181714611221"/>
    <n v="0"/>
    <m/>
  </r>
  <r>
    <x v="90"/>
    <n v="91"/>
    <n v="1534"/>
    <x v="84"/>
    <n v="642"/>
    <n v="261"/>
    <n v="146"/>
    <n v="18"/>
    <n v="0"/>
    <n v="97"/>
    <n v="0"/>
    <n v="0"/>
    <n v="60"/>
    <n v="0"/>
    <n v="0"/>
    <n v="0"/>
    <n v="0"/>
    <n v="0"/>
    <n v="60"/>
    <n v="0.41851368970013036"/>
    <n v="0.58148631029986964"/>
    <n v="0"/>
    <x v="87"/>
    <n v="634"/>
    <n v="0.94626865671641791"/>
    <n v="0.94626865671641791"/>
    <n v="263"/>
    <n v="239"/>
    <n v="24"/>
    <n v="0"/>
    <n v="0"/>
    <n v="0"/>
    <n v="0"/>
    <n v="54"/>
    <n v="0"/>
    <n v="0"/>
    <n v="0"/>
    <n v="0"/>
    <n v="0"/>
    <n v="54"/>
    <n v="0.41329856584093871"/>
    <n v="0.58670143415906129"/>
    <n v="18"/>
    <x v="90"/>
    <n v="1140"/>
    <n v="0.967741935483871"/>
    <n v="0.967741935483871"/>
    <n v="453"/>
    <n v="344"/>
    <n v="19"/>
    <n v="0"/>
    <n v="86"/>
    <n v="4"/>
    <n v="0"/>
    <n v="117"/>
    <n v="15"/>
    <n v="16"/>
    <n v="0"/>
    <n v="7"/>
    <n v="5"/>
    <n v="0"/>
    <n v="74"/>
    <n v="0.74315514993481091"/>
    <n v="0.25684485006518909"/>
    <n v="19"/>
    <x v="87"/>
    <n v="578"/>
    <n v="1"/>
    <n v="1"/>
    <n v="49"/>
    <n v="0"/>
    <n v="0"/>
    <n v="49"/>
    <n v="0"/>
    <n v="0"/>
    <n v="240"/>
    <n v="0"/>
    <n v="47"/>
    <n v="129"/>
    <n v="0"/>
    <n v="0"/>
    <n v="0"/>
    <n v="64"/>
    <n v="0.37679269882659711"/>
    <n v="0.62320730117340295"/>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3C75C-CEAB-4B62-974D-CFEE2C291E3A}"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3:B89" firstHeaderRow="1" firstDataRow="1" firstDataCol="1" rowPageCount="1" colPageCount="1"/>
  <pivotFields count="87">
    <pivotField axis="axisPage" compact="0" outline="0" showAll="0" avgSubtotal="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avg"/>
      </items>
    </pivotField>
    <pivotField compact="0" outline="0" showAll="0"/>
    <pivotField compact="0" numFmtId="164" outline="0" showAll="0"/>
    <pivotField axis="axisRow" compact="0" numFmtId="164" outline="0" showAll="0">
      <items count="86">
        <item x="21"/>
        <item x="55"/>
        <item x="75"/>
        <item x="1"/>
        <item x="65"/>
        <item x="30"/>
        <item x="19"/>
        <item x="16"/>
        <item x="10"/>
        <item x="37"/>
        <item x="26"/>
        <item x="20"/>
        <item x="63"/>
        <item x="33"/>
        <item x="35"/>
        <item x="53"/>
        <item x="31"/>
        <item x="4"/>
        <item x="70"/>
        <item x="62"/>
        <item x="42"/>
        <item x="25"/>
        <item x="57"/>
        <item x="0"/>
        <item x="14"/>
        <item x="49"/>
        <item x="64"/>
        <item x="82"/>
        <item x="67"/>
        <item x="76"/>
        <item x="11"/>
        <item x="80"/>
        <item x="78"/>
        <item x="68"/>
        <item x="77"/>
        <item x="32"/>
        <item x="47"/>
        <item x="54"/>
        <item x="79"/>
        <item x="84"/>
        <item x="8"/>
        <item x="3"/>
        <item x="5"/>
        <item x="24"/>
        <item x="17"/>
        <item x="44"/>
        <item x="23"/>
        <item x="69"/>
        <item x="6"/>
        <item x="50"/>
        <item x="81"/>
        <item x="18"/>
        <item x="41"/>
        <item x="58"/>
        <item x="59"/>
        <item x="45"/>
        <item x="9"/>
        <item x="56"/>
        <item x="29"/>
        <item x="83"/>
        <item x="27"/>
        <item x="71"/>
        <item x="2"/>
        <item x="60"/>
        <item x="51"/>
        <item x="74"/>
        <item x="46"/>
        <item x="52"/>
        <item x="22"/>
        <item x="34"/>
        <item x="48"/>
        <item x="61"/>
        <item x="38"/>
        <item x="28"/>
        <item x="36"/>
        <item x="40"/>
        <item x="7"/>
        <item x="12"/>
        <item x="43"/>
        <item x="39"/>
        <item x="72"/>
        <item x="66"/>
        <item x="15"/>
        <item x="13"/>
        <item x="73"/>
        <item t="default"/>
      </items>
    </pivotField>
    <pivotField compact="0" numFmtId="164" outline="0" showAll="0"/>
    <pivotField compact="0" numFmtId="164" outline="0" showAll="0" countASubtotal="1"/>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3"/>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pageFields count="1">
    <pageField fld="0" hier="-1"/>
  </pageFields>
  <dataFields count="1">
    <dataField name="Average of Under 18 years - Penetration Rate" fld="19" subtotal="average" baseField="3" baseItem="0"/>
  </dataFields>
  <formats count="1">
    <format dxfId="3">
      <pivotArea dataOnly="0"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988ED-C75C-4778-9BA6-D7E519727C6C}" name="PivotTable10"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Z97:AA186"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axis="axisRow" compact="0" numFmtId="164" outline="0" showAll="0">
      <items count="89">
        <item x="21"/>
        <item x="69"/>
        <item x="37"/>
        <item x="20"/>
        <item x="76"/>
        <item x="35"/>
        <item x="4"/>
        <item x="57"/>
        <item x="1"/>
        <item x="55"/>
        <item x="30"/>
        <item x="84"/>
        <item x="54"/>
        <item x="42"/>
        <item x="72"/>
        <item x="11"/>
        <item x="26"/>
        <item x="14"/>
        <item x="65"/>
        <item x="79"/>
        <item x="32"/>
        <item x="78"/>
        <item x="44"/>
        <item x="59"/>
        <item x="87"/>
        <item x="6"/>
        <item x="8"/>
        <item x="77"/>
        <item x="50"/>
        <item x="82"/>
        <item x="2"/>
        <item x="29"/>
        <item x="58"/>
        <item x="73"/>
        <item x="23"/>
        <item x="41"/>
        <item x="3"/>
        <item x="48"/>
        <item x="27"/>
        <item x="25"/>
        <item x="45"/>
        <item x="64"/>
        <item x="62"/>
        <item x="81"/>
        <item x="0"/>
        <item x="31"/>
        <item x="24"/>
        <item x="38"/>
        <item x="40"/>
        <item x="60"/>
        <item x="18"/>
        <item x="51"/>
        <item x="86"/>
        <item x="85"/>
        <item x="61"/>
        <item x="22"/>
        <item x="47"/>
        <item x="52"/>
        <item x="34"/>
        <item x="83"/>
        <item x="33"/>
        <item x="43"/>
        <item x="49"/>
        <item x="63"/>
        <item x="46"/>
        <item x="67"/>
        <item x="5"/>
        <item x="80"/>
        <item x="12"/>
        <item x="39"/>
        <item x="68"/>
        <item x="17"/>
        <item x="28"/>
        <item x="71"/>
        <item x="7"/>
        <item x="16"/>
        <item x="36"/>
        <item x="15"/>
        <item x="13"/>
        <item x="10"/>
        <item x="70"/>
        <item x="53"/>
        <item x="9"/>
        <item x="19"/>
        <item x="75"/>
        <item x="74"/>
        <item x="56"/>
        <item x="66"/>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dataField="1"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22"/>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18 to 34 years - Uninsured rate" fld="41" subtotal="average" baseField="22"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6E7820-5E80-407B-86C4-7EC8A535DB65}" name="PivotTable3"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192:B284" firstHeaderRow="1" firstDataRow="1" firstDataCol="1" rowPageCount="1" colPageCount="1"/>
  <pivotFields count="87">
    <pivotField axis="axisPage" compact="0" outline="0" showAll="0" avgSubtotal="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avg"/>
      </items>
    </pivotField>
    <pivotField compact="0" outline="0" showAll="0"/>
    <pivotField compact="0" numFmtId="164" outline="0" showAll="0"/>
    <pivotField compact="0" numFmtId="164" outline="0" showAll="0"/>
    <pivotField compact="0" numFmtId="164" outline="0" showAll="0"/>
    <pivotField compact="0" numFmtId="164" outline="0" showAll="0" countASubtotal="1"/>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92">
        <item x="21"/>
        <item x="71"/>
        <item x="4"/>
        <item x="87"/>
        <item x="57"/>
        <item x="30"/>
        <item x="78"/>
        <item x="1"/>
        <item x="67"/>
        <item x="37"/>
        <item x="35"/>
        <item x="10"/>
        <item x="26"/>
        <item x="20"/>
        <item x="31"/>
        <item x="58"/>
        <item x="54"/>
        <item x="42"/>
        <item x="80"/>
        <item x="14"/>
        <item x="0"/>
        <item x="11"/>
        <item x="6"/>
        <item x="74"/>
        <item x="66"/>
        <item x="88"/>
        <item x="59"/>
        <item x="19"/>
        <item x="83"/>
        <item x="55"/>
        <item x="44"/>
        <item x="81"/>
        <item x="33"/>
        <item x="65"/>
        <item x="32"/>
        <item x="70"/>
        <item x="90"/>
        <item x="82"/>
        <item x="41"/>
        <item x="64"/>
        <item x="8"/>
        <item x="50"/>
        <item x="23"/>
        <item x="47"/>
        <item x="85"/>
        <item x="3"/>
        <item x="75"/>
        <item x="48"/>
        <item x="56"/>
        <item x="86"/>
        <item x="84"/>
        <item x="40"/>
        <item x="2"/>
        <item x="25"/>
        <item x="29"/>
        <item x="24"/>
        <item x="18"/>
        <item x="27"/>
        <item x="16"/>
        <item x="52"/>
        <item x="62"/>
        <item x="43"/>
        <item x="51"/>
        <item x="49"/>
        <item x="89"/>
        <item x="22"/>
        <item x="34"/>
        <item x="60"/>
        <item x="5"/>
        <item x="45"/>
        <item x="73"/>
        <item x="72"/>
        <item x="61"/>
        <item x="28"/>
        <item x="17"/>
        <item x="38"/>
        <item x="46"/>
        <item x="79"/>
        <item x="69"/>
        <item x="63"/>
        <item x="9"/>
        <item x="53"/>
        <item x="76"/>
        <item x="39"/>
        <item x="36"/>
        <item x="68"/>
        <item x="12"/>
        <item x="7"/>
        <item x="15"/>
        <item x="77"/>
        <item x="13"/>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43"/>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pageFields count="1">
    <pageField fld="0" hier="-1"/>
  </pageFields>
  <dataFields count="1">
    <dataField name="Average of 35 to 64 years - Penetration Rate" fld="62" subtotal="average" baseField="42" baseItem="0"/>
  </dataFields>
  <formats count="1">
    <format dxfId="5">
      <pivotArea dataOnly="0"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6EF72-DC02-4178-8353-AB3D393C9B6A}" name="PivotTable8"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Z294:AA383"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89">
        <item x="68"/>
        <item x="20"/>
        <item x="55"/>
        <item x="75"/>
        <item x="4"/>
        <item x="84"/>
        <item x="29"/>
        <item x="77"/>
        <item x="25"/>
        <item x="36"/>
        <item x="1"/>
        <item x="14"/>
        <item x="64"/>
        <item x="34"/>
        <item x="30"/>
        <item x="32"/>
        <item x="56"/>
        <item x="11"/>
        <item x="10"/>
        <item x="71"/>
        <item x="31"/>
        <item x="85"/>
        <item x="6"/>
        <item x="0"/>
        <item x="3"/>
        <item x="53"/>
        <item x="78"/>
        <item x="57"/>
        <item x="62"/>
        <item x="79"/>
        <item x="63"/>
        <item x="19"/>
        <item x="80"/>
        <item x="41"/>
        <item x="47"/>
        <item x="28"/>
        <item x="2"/>
        <item x="67"/>
        <item x="8"/>
        <item x="87"/>
        <item x="24"/>
        <item x="51"/>
        <item x="43"/>
        <item x="81"/>
        <item x="72"/>
        <item x="83"/>
        <item x="39"/>
        <item x="46"/>
        <item x="82"/>
        <item x="49"/>
        <item x="23"/>
        <item x="26"/>
        <item x="42"/>
        <item x="16"/>
        <item x="18"/>
        <item x="33"/>
        <item x="59"/>
        <item x="70"/>
        <item x="86"/>
        <item x="48"/>
        <item x="40"/>
        <item x="21"/>
        <item x="22"/>
        <item x="50"/>
        <item x="60"/>
        <item x="66"/>
        <item x="5"/>
        <item x="44"/>
        <item x="17"/>
        <item x="58"/>
        <item x="37"/>
        <item x="27"/>
        <item x="45"/>
        <item x="69"/>
        <item x="76"/>
        <item x="61"/>
        <item x="38"/>
        <item x="9"/>
        <item x="54"/>
        <item x="7"/>
        <item x="35"/>
        <item x="12"/>
        <item x="65"/>
        <item x="52"/>
        <item x="73"/>
        <item x="15"/>
        <item x="13"/>
        <item x="74"/>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dataField="1" compact="0" numFmtId="9" outline="0" showAll="0"/>
    <pivotField compact="0" numFmtId="164" outline="0" showAll="0"/>
    <pivotField compact="0" outline="0" showAll="0"/>
  </pivotFields>
  <rowFields count="1">
    <field x="65"/>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65 years and over - Uninsured rate" fld="84" subtotal="average" baseField="65"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048DF2-1109-4B9A-B61E-B8513FFF7145}" name="IPR"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91:B380" firstHeaderRow="1" firstDataRow="1" firstDataCol="1" rowPageCount="1" colPageCount="1"/>
  <pivotFields count="87">
    <pivotField axis="axisPage" compact="0" outline="0" showAll="0" avgSubtotal="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avg"/>
      </items>
    </pivotField>
    <pivotField compact="0" outline="0" showAll="0"/>
    <pivotField compact="0" numFmtId="164" outline="0" showAll="0"/>
    <pivotField compact="0" numFmtId="164" outline="0" showAll="0"/>
    <pivotField compact="0" numFmtId="164" outline="0" showAll="0"/>
    <pivotField compact="0" numFmtId="164" outline="0" showAll="0" countASubtotal="1"/>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89">
        <item x="68"/>
        <item x="20"/>
        <item x="55"/>
        <item x="75"/>
        <item x="4"/>
        <item x="84"/>
        <item x="29"/>
        <item x="77"/>
        <item x="25"/>
        <item x="36"/>
        <item x="1"/>
        <item x="14"/>
        <item x="64"/>
        <item x="34"/>
        <item x="30"/>
        <item x="32"/>
        <item x="56"/>
        <item x="11"/>
        <item x="10"/>
        <item x="71"/>
        <item x="31"/>
        <item x="85"/>
        <item x="6"/>
        <item x="0"/>
        <item x="3"/>
        <item x="53"/>
        <item x="78"/>
        <item x="57"/>
        <item x="62"/>
        <item x="79"/>
        <item x="63"/>
        <item x="19"/>
        <item x="80"/>
        <item x="41"/>
        <item x="47"/>
        <item x="28"/>
        <item x="2"/>
        <item x="67"/>
        <item x="8"/>
        <item x="87"/>
        <item x="24"/>
        <item x="51"/>
        <item x="43"/>
        <item x="81"/>
        <item x="72"/>
        <item x="83"/>
        <item x="39"/>
        <item x="46"/>
        <item x="82"/>
        <item x="49"/>
        <item x="23"/>
        <item x="26"/>
        <item x="42"/>
        <item x="16"/>
        <item x="18"/>
        <item x="33"/>
        <item x="59"/>
        <item x="70"/>
        <item x="86"/>
        <item x="48"/>
        <item x="40"/>
        <item x="21"/>
        <item x="22"/>
        <item x="50"/>
        <item x="60"/>
        <item x="66"/>
        <item x="5"/>
        <item x="44"/>
        <item x="17"/>
        <item x="58"/>
        <item x="37"/>
        <item x="27"/>
        <item x="45"/>
        <item x="69"/>
        <item x="76"/>
        <item x="61"/>
        <item x="38"/>
        <item x="9"/>
        <item x="54"/>
        <item x="7"/>
        <item x="35"/>
        <item x="12"/>
        <item x="65"/>
        <item x="52"/>
        <item x="73"/>
        <item x="15"/>
        <item x="13"/>
        <item x="74"/>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numFmtId="9" outline="0" showAll="0"/>
    <pivotField compact="0" numFmtId="9" outline="0" showAll="0"/>
    <pivotField compact="0" numFmtId="164" outline="0" showAll="0"/>
    <pivotField compact="0" outline="0" showAll="0"/>
  </pivotFields>
  <rowFields count="1">
    <field x="65"/>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65 years and over - Penetration Rate" fld="83" subtotal="average" baseField="63" baseItem="0"/>
  </dataFields>
  <formats count="1">
    <format dxfId="7">
      <pivotArea dataOnly="0"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164C60-082E-4655-AE6B-0811FA57D02F}" name="PivotTable6"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L100:M192"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92">
        <item x="21"/>
        <item x="71"/>
        <item x="4"/>
        <item x="87"/>
        <item x="57"/>
        <item x="30"/>
        <item x="78"/>
        <item x="1"/>
        <item x="67"/>
        <item x="37"/>
        <item x="35"/>
        <item x="10"/>
        <item x="26"/>
        <item x="20"/>
        <item x="31"/>
        <item x="58"/>
        <item x="54"/>
        <item x="42"/>
        <item x="80"/>
        <item x="14"/>
        <item x="0"/>
        <item x="11"/>
        <item x="6"/>
        <item x="74"/>
        <item x="66"/>
        <item x="88"/>
        <item x="59"/>
        <item x="19"/>
        <item x="83"/>
        <item x="55"/>
        <item x="44"/>
        <item x="81"/>
        <item x="33"/>
        <item x="65"/>
        <item x="32"/>
        <item x="70"/>
        <item x="90"/>
        <item x="82"/>
        <item x="41"/>
        <item x="64"/>
        <item x="8"/>
        <item x="50"/>
        <item x="23"/>
        <item x="47"/>
        <item x="85"/>
        <item x="3"/>
        <item x="75"/>
        <item x="48"/>
        <item x="56"/>
        <item x="86"/>
        <item x="84"/>
        <item x="40"/>
        <item x="2"/>
        <item x="25"/>
        <item x="29"/>
        <item x="24"/>
        <item x="18"/>
        <item x="27"/>
        <item x="16"/>
        <item x="52"/>
        <item x="62"/>
        <item x="43"/>
        <item x="51"/>
        <item x="49"/>
        <item x="89"/>
        <item x="22"/>
        <item x="34"/>
        <item x="60"/>
        <item x="5"/>
        <item x="45"/>
        <item x="73"/>
        <item x="72"/>
        <item x="61"/>
        <item x="28"/>
        <item x="17"/>
        <item x="38"/>
        <item x="46"/>
        <item x="79"/>
        <item x="69"/>
        <item x="63"/>
        <item x="9"/>
        <item x="53"/>
        <item x="76"/>
        <item x="39"/>
        <item x="36"/>
        <item x="68"/>
        <item x="12"/>
        <item x="7"/>
        <item x="15"/>
        <item x="77"/>
        <item x="13"/>
        <item t="default"/>
      </items>
    </pivotField>
    <pivotField compact="0" numFmtId="164" outline="0" showAll="0"/>
    <pivotField compact="0" outline="0" showAll="0"/>
    <pivotField dataField="1"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43"/>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pageFields count="1">
    <pageField fld="0" hier="-1"/>
  </pageFields>
  <dataFields count="1">
    <dataField name="Average of 35 to 64 years - Real Coverage Rate" fld="46" subtotal="average" baseField="43"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AFD9C-FB5B-4E5E-B093-B78694A7EFDE}"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U1:AW93" firstHeaderRow="0" firstDataRow="1" firstDataCol="1"/>
  <pivotFields count="87">
    <pivotField axis="axisRow"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dataField="1"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0"/>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6"/>
    </i>
    <i>
      <x v="87"/>
    </i>
    <i>
      <x v="88"/>
    </i>
    <i>
      <x v="89"/>
    </i>
    <i>
      <x v="90"/>
    </i>
    <i>
      <x v="91"/>
    </i>
    <i>
      <x v="92"/>
    </i>
    <i t="grand">
      <x/>
    </i>
  </rowItems>
  <colFields count="1">
    <field x="-2"/>
  </colFields>
  <colItems count="2">
    <i>
      <x/>
    </i>
    <i i="1">
      <x v="1"/>
    </i>
  </colItems>
  <dataFields count="2">
    <dataField name="Sum of Total" fld="2" baseField="0" baseItem="0"/>
    <dataField name="Count of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330CB9-DB6E-453B-BEFB-165294DA2BA8}" name="PivotTable9"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Z194:AA286"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92">
        <item x="21"/>
        <item x="71"/>
        <item x="4"/>
        <item x="87"/>
        <item x="57"/>
        <item x="30"/>
        <item x="78"/>
        <item x="1"/>
        <item x="67"/>
        <item x="37"/>
        <item x="35"/>
        <item x="10"/>
        <item x="26"/>
        <item x="20"/>
        <item x="31"/>
        <item x="58"/>
        <item x="54"/>
        <item x="42"/>
        <item x="80"/>
        <item x="14"/>
        <item x="0"/>
        <item x="11"/>
        <item x="6"/>
        <item x="74"/>
        <item x="66"/>
        <item x="88"/>
        <item x="59"/>
        <item x="19"/>
        <item x="83"/>
        <item x="55"/>
        <item x="44"/>
        <item x="81"/>
        <item x="33"/>
        <item x="65"/>
        <item x="32"/>
        <item x="70"/>
        <item x="90"/>
        <item x="82"/>
        <item x="41"/>
        <item x="64"/>
        <item x="8"/>
        <item x="50"/>
        <item x="23"/>
        <item x="47"/>
        <item x="85"/>
        <item x="3"/>
        <item x="75"/>
        <item x="48"/>
        <item x="56"/>
        <item x="86"/>
        <item x="84"/>
        <item x="40"/>
        <item x="2"/>
        <item x="25"/>
        <item x="29"/>
        <item x="24"/>
        <item x="18"/>
        <item x="27"/>
        <item x="16"/>
        <item x="52"/>
        <item x="62"/>
        <item x="43"/>
        <item x="51"/>
        <item x="49"/>
        <item x="89"/>
        <item x="22"/>
        <item x="34"/>
        <item x="60"/>
        <item x="5"/>
        <item x="45"/>
        <item x="73"/>
        <item x="72"/>
        <item x="61"/>
        <item x="28"/>
        <item x="17"/>
        <item x="38"/>
        <item x="46"/>
        <item x="79"/>
        <item x="69"/>
        <item x="63"/>
        <item x="9"/>
        <item x="53"/>
        <item x="76"/>
        <item x="39"/>
        <item x="36"/>
        <item x="68"/>
        <item x="12"/>
        <item x="7"/>
        <item x="15"/>
        <item x="77"/>
        <item x="13"/>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dataField="1"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43"/>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pageFields count="1">
    <pageField fld="0" hier="-1"/>
  </pageFields>
  <dataFields count="1">
    <dataField name="Average of 35 to 64 years - Uninsured rate" fld="63" subtotal="average" baseField="43"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31B6F1-1DD3-47F8-A8EA-81EC144E2A0D}" name="PivotTable5"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L200:M289"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axis="axisRow" compact="0" numFmtId="164" outline="0" showAll="0">
      <items count="89">
        <item x="68"/>
        <item x="20"/>
        <item x="55"/>
        <item x="75"/>
        <item x="4"/>
        <item x="84"/>
        <item x="29"/>
        <item x="77"/>
        <item x="25"/>
        <item x="36"/>
        <item x="1"/>
        <item x="14"/>
        <item x="64"/>
        <item x="34"/>
        <item x="30"/>
        <item x="32"/>
        <item x="56"/>
        <item x="11"/>
        <item x="10"/>
        <item x="71"/>
        <item x="31"/>
        <item x="85"/>
        <item x="6"/>
        <item x="0"/>
        <item x="3"/>
        <item x="53"/>
        <item x="78"/>
        <item x="57"/>
        <item x="62"/>
        <item x="79"/>
        <item x="63"/>
        <item x="19"/>
        <item x="80"/>
        <item x="41"/>
        <item x="47"/>
        <item x="28"/>
        <item x="2"/>
        <item x="67"/>
        <item x="8"/>
        <item x="87"/>
        <item x="24"/>
        <item x="51"/>
        <item x="43"/>
        <item x="81"/>
        <item x="72"/>
        <item x="83"/>
        <item x="39"/>
        <item x="46"/>
        <item x="82"/>
        <item x="49"/>
        <item x="23"/>
        <item x="26"/>
        <item x="42"/>
        <item x="16"/>
        <item x="18"/>
        <item x="33"/>
        <item x="59"/>
        <item x="70"/>
        <item x="86"/>
        <item x="48"/>
        <item x="40"/>
        <item x="21"/>
        <item x="22"/>
        <item x="50"/>
        <item x="60"/>
        <item x="66"/>
        <item x="5"/>
        <item x="44"/>
        <item x="17"/>
        <item x="58"/>
        <item x="37"/>
        <item x="27"/>
        <item x="45"/>
        <item x="69"/>
        <item x="76"/>
        <item x="61"/>
        <item x="38"/>
        <item x="9"/>
        <item x="54"/>
        <item x="7"/>
        <item x="35"/>
        <item x="12"/>
        <item x="65"/>
        <item x="52"/>
        <item x="73"/>
        <item x="15"/>
        <item x="13"/>
        <item x="74"/>
        <item t="default"/>
      </items>
    </pivotField>
    <pivotField compact="0" numFmtId="164" outline="0" showAll="0"/>
    <pivotField compact="0" outline="0" showAll="0"/>
    <pivotField dataField="1"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65"/>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65 years and over - Real Coverage Rate" fld="68" subtotal="average" baseField="65"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E2008C-32A3-44FE-A0A8-1CF4E939116B}" name="PivotTable7"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Z3:AA89"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axis="axisRow" compact="0" numFmtId="164" outline="0" showAll="0">
      <items count="86">
        <item x="21"/>
        <item x="55"/>
        <item x="75"/>
        <item x="1"/>
        <item x="65"/>
        <item x="30"/>
        <item x="19"/>
        <item x="16"/>
        <item x="10"/>
        <item x="37"/>
        <item x="26"/>
        <item x="20"/>
        <item x="63"/>
        <item x="33"/>
        <item x="35"/>
        <item x="53"/>
        <item x="31"/>
        <item x="4"/>
        <item x="70"/>
        <item x="62"/>
        <item x="42"/>
        <item x="25"/>
        <item x="57"/>
        <item x="0"/>
        <item x="14"/>
        <item x="49"/>
        <item x="64"/>
        <item x="82"/>
        <item x="67"/>
        <item x="76"/>
        <item x="11"/>
        <item x="80"/>
        <item x="78"/>
        <item x="68"/>
        <item x="77"/>
        <item x="32"/>
        <item x="47"/>
        <item x="54"/>
        <item x="79"/>
        <item x="84"/>
        <item x="8"/>
        <item x="3"/>
        <item x="5"/>
        <item x="24"/>
        <item x="17"/>
        <item x="44"/>
        <item x="23"/>
        <item x="69"/>
        <item x="6"/>
        <item x="50"/>
        <item x="81"/>
        <item x="18"/>
        <item x="41"/>
        <item x="58"/>
        <item x="59"/>
        <item x="45"/>
        <item x="9"/>
        <item x="56"/>
        <item x="29"/>
        <item x="83"/>
        <item x="27"/>
        <item x="71"/>
        <item x="2"/>
        <item x="60"/>
        <item x="51"/>
        <item x="74"/>
        <item x="46"/>
        <item x="52"/>
        <item x="22"/>
        <item x="34"/>
        <item x="48"/>
        <item x="61"/>
        <item x="38"/>
        <item x="28"/>
        <item x="36"/>
        <item x="40"/>
        <item x="7"/>
        <item x="12"/>
        <item x="43"/>
        <item x="39"/>
        <item x="72"/>
        <item x="66"/>
        <item x="15"/>
        <item x="13"/>
        <item x="73"/>
        <item t="default"/>
      </items>
    </pivotField>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dataField="1" compact="0"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3"/>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pageFields count="1">
    <pageField fld="0" hier="-1"/>
  </pageFields>
  <dataFields count="1">
    <dataField name="Average of Under 18 years - Uninsured Rate" fld="20" subtotal="average" baseField="3" baseItem="0" numFmtId="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E68FA3-236F-4774-AA79-65E1BD9914F6}" name="PivotTable4"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L3:M92" firstHeaderRow="1" firstDataRow="1" firstDataCol="1" rowPageCount="1" colPageCount="1"/>
  <pivotFields count="87">
    <pivotField axis="axisPage" compact="0" outline="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axis="axisRow" compact="0" numFmtId="164" outline="0" showAll="0">
      <items count="89">
        <item x="21"/>
        <item x="69"/>
        <item x="37"/>
        <item x="20"/>
        <item x="76"/>
        <item x="35"/>
        <item x="4"/>
        <item x="57"/>
        <item x="1"/>
        <item x="55"/>
        <item x="30"/>
        <item x="84"/>
        <item x="54"/>
        <item x="42"/>
        <item x="72"/>
        <item x="11"/>
        <item x="26"/>
        <item x="14"/>
        <item x="65"/>
        <item x="79"/>
        <item x="32"/>
        <item x="78"/>
        <item x="44"/>
        <item x="59"/>
        <item x="87"/>
        <item x="6"/>
        <item x="8"/>
        <item x="77"/>
        <item x="50"/>
        <item x="82"/>
        <item x="2"/>
        <item x="29"/>
        <item x="58"/>
        <item x="73"/>
        <item x="23"/>
        <item x="41"/>
        <item x="3"/>
        <item x="48"/>
        <item x="27"/>
        <item x="25"/>
        <item x="45"/>
        <item x="64"/>
        <item x="62"/>
        <item x="81"/>
        <item x="0"/>
        <item x="31"/>
        <item x="24"/>
        <item x="38"/>
        <item x="40"/>
        <item x="60"/>
        <item x="18"/>
        <item x="51"/>
        <item x="86"/>
        <item x="85"/>
        <item x="61"/>
        <item x="22"/>
        <item x="47"/>
        <item x="52"/>
        <item x="34"/>
        <item x="83"/>
        <item x="33"/>
        <item x="43"/>
        <item x="49"/>
        <item x="63"/>
        <item x="46"/>
        <item x="67"/>
        <item x="5"/>
        <item x="80"/>
        <item x="12"/>
        <item x="39"/>
        <item x="68"/>
        <item x="17"/>
        <item x="28"/>
        <item x="71"/>
        <item x="7"/>
        <item x="16"/>
        <item x="36"/>
        <item x="15"/>
        <item x="13"/>
        <item x="10"/>
        <item x="70"/>
        <item x="53"/>
        <item x="9"/>
        <item x="19"/>
        <item x="75"/>
        <item x="74"/>
        <item x="56"/>
        <item x="66"/>
        <item t="default"/>
      </items>
    </pivotField>
    <pivotField compact="0" numFmtId="164" outline="0" showAll="0"/>
    <pivotField compact="0" outline="0" showAll="0"/>
    <pivotField dataField="1"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22"/>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Real Coverage Rate ( 18 to 34 years )" fld="25" subtotal="average" baseField="22" baseItem="0" numFmtId="9"/>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AEAAC5-A3F2-494E-AA1B-553A0975D05A}" name="PivotTable2"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96:B185" firstHeaderRow="1" firstDataRow="1" firstDataCol="1" rowPageCount="1" colPageCount="1"/>
  <pivotFields count="87">
    <pivotField axis="axisPage" compact="0" outline="0" showAll="0" avgSubtotal="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m="1" x="91"/>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m="1" x="92"/>
        <item x="84"/>
        <item x="85"/>
        <item x="86"/>
        <item x="87"/>
        <item x="88"/>
        <item x="89"/>
        <item x="90"/>
        <item t="avg"/>
      </items>
    </pivotField>
    <pivotField compact="0" outline="0" showAll="0"/>
    <pivotField compact="0" numFmtId="164" outline="0" showAll="0"/>
    <pivotField compact="0" numFmtId="164" outline="0" showAll="0"/>
    <pivotField compact="0" numFmtId="164" outline="0" showAll="0"/>
    <pivotField compact="0" numFmtId="164" outline="0" showAll="0" countASubtotal="1"/>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outline="0" showAll="0"/>
    <pivotField compact="0" numFmtId="164" outline="0" showAll="0"/>
    <pivotField axis="axisRow" compact="0" numFmtId="164" outline="0" showAll="0">
      <items count="89">
        <item x="21"/>
        <item x="69"/>
        <item x="37"/>
        <item x="20"/>
        <item x="76"/>
        <item x="35"/>
        <item x="4"/>
        <item x="57"/>
        <item x="1"/>
        <item x="55"/>
        <item x="30"/>
        <item x="84"/>
        <item x="54"/>
        <item x="42"/>
        <item x="72"/>
        <item x="11"/>
        <item x="26"/>
        <item x="14"/>
        <item x="65"/>
        <item x="79"/>
        <item x="32"/>
        <item x="78"/>
        <item x="44"/>
        <item x="59"/>
        <item x="87"/>
        <item x="6"/>
        <item x="8"/>
        <item x="77"/>
        <item x="50"/>
        <item x="82"/>
        <item x="2"/>
        <item x="29"/>
        <item x="58"/>
        <item x="73"/>
        <item x="23"/>
        <item x="41"/>
        <item x="3"/>
        <item x="48"/>
        <item x="27"/>
        <item x="25"/>
        <item x="45"/>
        <item x="64"/>
        <item x="62"/>
        <item x="81"/>
        <item x="0"/>
        <item x="31"/>
        <item x="24"/>
        <item x="38"/>
        <item x="40"/>
        <item x="60"/>
        <item x="18"/>
        <item x="51"/>
        <item x="86"/>
        <item x="85"/>
        <item x="61"/>
        <item x="22"/>
        <item x="47"/>
        <item x="52"/>
        <item x="34"/>
        <item x="83"/>
        <item x="33"/>
        <item x="43"/>
        <item x="49"/>
        <item x="63"/>
        <item x="46"/>
        <item x="67"/>
        <item x="5"/>
        <item x="80"/>
        <item x="12"/>
        <item x="39"/>
        <item x="68"/>
        <item x="17"/>
        <item x="28"/>
        <item x="71"/>
        <item x="7"/>
        <item x="16"/>
        <item x="36"/>
        <item x="15"/>
        <item x="13"/>
        <item x="10"/>
        <item x="70"/>
        <item x="53"/>
        <item x="9"/>
        <item x="19"/>
        <item x="75"/>
        <item x="74"/>
        <item x="56"/>
        <item x="66"/>
        <item t="default"/>
      </items>
    </pivotField>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numFmtId="164" outline="0" showAll="0"/>
    <pivotField compact="0" numFmtId="164" outline="0" showAll="0"/>
    <pivotField compact="0" outline="0" showAll="0"/>
    <pivotField compact="0" numFmtId="9"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9" outline="0" showAll="0"/>
    <pivotField compact="0" numFmtId="164" outline="0" showAll="0"/>
    <pivotField compact="0" outline="0" showAll="0"/>
  </pivotFields>
  <rowFields count="1">
    <field x="22"/>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pageFields count="1">
    <pageField fld="0" hier="-1"/>
  </pageFields>
  <dataFields count="1">
    <dataField name="Average of 18 to 34 years - Penetration rate" fld="40" subtotal="average" baseField="22" baseItem="0"/>
  </dataFields>
  <formats count="1">
    <format dxfId="13">
      <pivotArea dataOnly="0"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ighborhood" xr10:uid="{D14A365E-E1EB-4333-B43F-C5DABC622307}" sourceName="Neighborhood">
  <pivotTables>
    <pivotTable tabId="5" name="PivotTable1"/>
    <pivotTable tabId="5" name="IPR"/>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3"/>
  </pivotTables>
  <data>
    <tabular pivotCacheId="336583762">
      <items count="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nd="1"/>
        <i x="9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ighborhood" xr10:uid="{151891E1-F61F-4FE6-A4CB-9CFF16B3D03A}" cache="Slicer_Neighborhood" caption="Neighborho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ighborhood 1" xr10:uid="{36367249-F5EE-481A-AF6E-C950944336E8}" cache="Slicer_Neighborhood" caption="Neighborhood"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CC72E-631A-4CAD-A117-513309F0CD2D}" name="Table1" displayName="Table1" ref="A1:CI93" totalsRowCount="1" headerRowDxfId="187" dataDxfId="186">
  <autoFilter ref="A1:CI92" xr:uid="{B08CC72E-631A-4CAD-A117-513309F0CD2D}"/>
  <sortState xmlns:xlrd2="http://schemas.microsoft.com/office/spreadsheetml/2017/richdata2" ref="A2:CH92">
    <sortCondition ref="A1:A92"/>
  </sortState>
  <tableColumns count="87">
    <tableColumn id="1" xr3:uid="{12BE19CD-EBE1-46B6-9169-3E305F76BC9A}" name="Neighborhood"/>
    <tableColumn id="2" xr3:uid="{5C9BC9C9-2C05-43BA-8ECD-BFE2D891F9AA}" name="Id" totalsRowFunction="count" dataDxfId="185" totalsRowDxfId="184"/>
    <tableColumn id="3" xr3:uid="{E80916C6-ECA6-433B-877A-58F5BB5FF2A1}" name="Total" totalsRowFunction="sum" dataDxfId="183" totalsRowDxfId="182" dataCellStyle="Comma"/>
    <tableColumn id="4" xr3:uid="{C0C7E131-7B4B-4054-9597-0C8F0BCDF57B}" name="Under 18 years" dataDxfId="181" totalsRowDxfId="180" dataCellStyle="Comma"/>
    <tableColumn id="75" xr3:uid="{0A60785D-B805-4085-99C1-56EDF6A5330A}" name="Total Insured Under 18 years" totalsRowFunction="sum" dataDxfId="179" totalsRowDxfId="178" dataCellStyle="Comma">
      <calculatedColumnFormula>SUM(Table1[[#This Row],[Under 18 years - With one type of health insurance coverage]:[Under 18 years - With two or more types of health insurance coverage &amp; Other coverage combinations]])</calculatedColumnFormula>
    </tableColumn>
    <tableColumn id="5" xr3:uid="{C0FEEE84-AC82-43E6-98B2-3E00F2365574}" name="Under 18 years - With one type of health insurance coverage" dataDxfId="177" totalsRowDxfId="176" dataCellStyle="Comma"/>
    <tableColumn id="6" xr3:uid="{D1514D96-28C0-4502-A50E-EF583EA932A0}" name="Under 18 years - With one type of health insurance coverage &amp; employer-based health insurance only" dataDxfId="175" totalsRowDxfId="174" dataCellStyle="Comma"/>
    <tableColumn id="7" xr3:uid="{4269E017-6187-4491-8F5F-2D4548A01604}" name="Under 18 years - With one type of health insurance coverage &amp; direct-purchase health insurance only" dataDxfId="173" totalsRowDxfId="172" dataCellStyle="Comma"/>
    <tableColumn id="8" xr3:uid="{FFAE3FD4-082B-4055-8A08-B65D8F422D40}" name="Under 18 years - With one type of health insurance coverage &amp; Medicare coverage only" dataDxfId="171" totalsRowDxfId="170" dataCellStyle="Comma"/>
    <tableColumn id="9" xr3:uid="{D7C8186D-B08A-422E-AD40-9A1CF7F8256B}" name="Under 18 years - With one type of health insurance coverage &amp; Medicaid/means-tested public coverage only" dataDxfId="169" totalsRowDxfId="168" dataCellStyle="Comma"/>
    <tableColumn id="10" xr3:uid="{256706BE-C1D7-4102-BC10-435B51332FB9}" name="Under 18 years - With one type of health insurance coverage &amp; TRICARE/military health coverage only" dataDxfId="167" totalsRowDxfId="166" dataCellStyle="Comma"/>
    <tableColumn id="11" xr3:uid="{5A64082E-FB2C-460E-B1AB-AAA5DCCC66E2}" name="Under 18 years - With one type of health insurance coverage &amp; VA Health Care only" dataDxfId="165" totalsRowDxfId="164" dataCellStyle="Comma"/>
    <tableColumn id="12" xr3:uid="{107E88CF-77B6-40EE-9D3D-660F352BD180}" name="Under 18 years - With two or more types of health insurance coverage" dataDxfId="163" totalsRowDxfId="162" dataCellStyle="Comma"/>
    <tableColumn id="13" xr3:uid="{4F17CB15-F01A-4457-9030-D806CEC30470}" name="Under 18 years - With two or more types of health insurance coverage, employer-based &amp; direct-purchase coverage" dataDxfId="161" totalsRowDxfId="160" dataCellStyle="Comma"/>
    <tableColumn id="14" xr3:uid="{421E1092-00E7-45ED-A1DA-545B7F0D545A}" name="Under 18 years - With two or more types of health insurance coverage, employer-based &amp; Medicare coverage" dataDxfId="159" totalsRowDxfId="158" dataCellStyle="Comma"/>
    <tableColumn id="15" xr3:uid="{42B2C18B-EEA5-4D13-A8BB-7D0C9E4786C7}" name="Under 18 years - With two or more types of health insurance coverage, Medicare &amp; Medicaid/means-tested public coverage" dataDxfId="157" totalsRowDxfId="156" dataCellStyle="Comma"/>
    <tableColumn id="16" xr3:uid="{AA99877A-4031-494B-9FB2-8A3CC7445690}" name="Under 18 years - With two or more types of health insurance coverage &amp; Other private only combinations" dataDxfId="155" totalsRowDxfId="154" dataCellStyle="Comma"/>
    <tableColumn id="17" xr3:uid="{A213CA1D-5FD5-4FB0-8833-89BB1CBC51C8}" name="Under 18 years - With two or more types of health insurance coverage &amp; Other public only combinations" dataDxfId="153" totalsRowDxfId="152" dataCellStyle="Comma"/>
    <tableColumn id="18" xr3:uid="{A775CAD8-857C-4009-BAD8-ECFDC1A331ED}" name="Under 18 years - With two or more types of health insurance coverage &amp; Other coverage combinations" dataDxfId="151" totalsRowDxfId="150" dataCellStyle="Comma"/>
    <tableColumn id="70" xr3:uid="{636F5732-A7D4-46DC-818B-E658EF8EC397}" name="Under 18 years - Penetration Rate" dataDxfId="149" totalsRowDxfId="148" dataCellStyle="Percent">
      <calculatedColumnFormula>SUM(Table1[[#This Row],[Under 18 years - With one type of health insurance coverage]:[Under 18 years - With two or more types of health insurance coverage &amp; Other coverage combinations]])/Table1[[#This Row],[Total]]</calculatedColumnFormula>
    </tableColumn>
    <tableColumn id="82" xr3:uid="{DCEAE74F-ACD6-45B7-8AD1-92BF33B8607B}" name="Under 18 years - Uninsured Rate" dataDxfId="147" totalsRowDxfId="146" dataCellStyle="Percent">
      <calculatedColumnFormula>100%-Table1[[#This Row],[Under 18 years - Penetration Rate]]</calculatedColumnFormula>
    </tableColumn>
    <tableColumn id="19" xr3:uid="{1C291EF5-1F22-4512-9FCF-9CE4B1AC1A21}" name="Under 18 years - No health insurance coverage" dataDxfId="145" totalsRowDxfId="144" dataCellStyle="Comma"/>
    <tableColumn id="20" xr3:uid="{45215D78-C781-4DDE-9360-0A953C27714E}" name="18 to 34 years" dataDxfId="143" totalsRowDxfId="142" dataCellStyle="Comma"/>
    <tableColumn id="76" xr3:uid="{928773C4-43CE-4CF9-B9C1-D90F95BAECBA}" name="Total Insured Under 18 to 34 years" totalsRowFunction="sum" dataDxfId="141" totalsRowDxfId="140" dataCellStyle="Comma">
      <calculatedColumnFormula>SUM(Table1[[#This Row],[18 to 34 years - With one type of health insurance coverage]:[18 to 34 years - With two or more types of health insurance coverage &amp; Other coverage combinations]])</calculatedColumnFormula>
    </tableColumn>
    <tableColumn id="81" xr3:uid="{ED2517DC-04D0-475A-A43D-4CE285794934}" name="Coverage Rate ( 18 to 34 years )" dataDxfId="139" totalsRowDxfId="138" dataCellStyle="Percent">
      <calculatedColumnFormula>(Table1[[#This Row],[18 to 34 years]] - Table1[[#This Row],[18 to 34 years - No health insurance coverage]]) / Table1[[#This Row],[18 to 34 years]]</calculatedColumnFormula>
    </tableColumn>
    <tableColumn id="88" xr3:uid="{A1E483E5-E2FA-47DD-B097-521F4C6C2705}" name="Real Coverage Rate ( 18 to 34 years )" dataDxfId="137" totalsRowDxfId="136" dataCellStyle="Percent">
      <calculatedColumnFormula>IFERROR(Table1[[#This Row],[Coverage Rate ( 18 to 34 years )]], 0)</calculatedColumnFormula>
    </tableColumn>
    <tableColumn id="21" xr3:uid="{B974D487-C04F-4D94-83DB-15F393BAFDAB}" name="18 to 34 years - With one type of health insurance coverage" dataDxfId="135" totalsRowDxfId="134" dataCellStyle="Comma"/>
    <tableColumn id="22" xr3:uid="{445C8521-BE59-45E9-B8E2-B6ABB8663F59}" name="18 to 34 years - With one type of health insurance coverage &amp; With employer-based health insurance only" dataDxfId="133" totalsRowDxfId="132" dataCellStyle="Comma"/>
    <tableColumn id="23" xr3:uid="{6E9C39FC-2AE5-4686-858F-E0AAFD80EAF4}" name="18 to 34 years -  With one type of health insurance coverage &amp; direct-purchase health insurance only" dataDxfId="131" totalsRowDxfId="130" dataCellStyle="Comma"/>
    <tableColumn id="24" xr3:uid="{06761A21-87D1-44A5-9DF1-331FEC8461B3}" name="18 to 34 years - With one type of health insurance coverage &amp; Medicare coverage only" dataDxfId="129" totalsRowDxfId="128" dataCellStyle="Comma"/>
    <tableColumn id="25" xr3:uid="{32196105-DACC-41F0-BBD6-444BCB1BA688}" name="18 to 34 years - With one type of health insurance coverage &amp; Medicaid/means-tested public coverage only" dataDxfId="127" totalsRowDxfId="126" dataCellStyle="Comma"/>
    <tableColumn id="26" xr3:uid="{9EFAD42E-C49E-40B0-AE5A-AB6ACF2BE10B}" name="18 to 34 years - With one type of health insurance coverage &amp; TRICARE/military health coverage only" dataDxfId="125" totalsRowDxfId="124" dataCellStyle="Comma"/>
    <tableColumn id="27" xr3:uid="{E802E21A-5AAA-4908-B7CD-25A243EACAE8}" name="18 to 34 years - With one type of health insurance coverage &amp; VA Health Care only" dataDxfId="123" totalsRowDxfId="122" dataCellStyle="Comma"/>
    <tableColumn id="28" xr3:uid="{21418227-753E-4030-81D8-ADA8CA0FCD21}" name="18 to 34 years - With two or more types of health insurance coverage" dataDxfId="121" totalsRowDxfId="120" dataCellStyle="Comma"/>
    <tableColumn id="29" xr3:uid="{3009537B-E8F2-453E-A203-3E23EF90DFF2}" name="18 to 34 years - With two or more types of health insurance coverage &amp; employer-based and direct-purchase coverage" dataDxfId="119" totalsRowDxfId="118" dataCellStyle="Comma"/>
    <tableColumn id="30" xr3:uid="{99F4FE15-7DDE-4EA8-ACE3-DD428CE51B29}" name="18 to 34 years - With two or more types of health insurance coverage &amp; employer-based and Medicare coverage" dataDxfId="117" totalsRowDxfId="116" dataCellStyle="Comma"/>
    <tableColumn id="31" xr3:uid="{FCABA341-6533-4C39-8028-786B275B496A}" name="18 to 34 years - With two or more types of health insurance coverage &amp; Medicare and Medicaid/means-tested public coverage" dataDxfId="115" totalsRowDxfId="114" dataCellStyle="Comma"/>
    <tableColumn id="32" xr3:uid="{7D8D877B-C86F-405A-B15B-506B0EC8A17A}" name="18 to 34 years - With two or more types of health insurance coverage &amp; Other private only combinations" dataDxfId="113" totalsRowDxfId="112" dataCellStyle="Comma"/>
    <tableColumn id="33" xr3:uid="{5EAA2A85-33F6-4BD7-9B65-1B14AD1FB356}" name="18 to 34 years - With two or more types of health insurance coverage &amp; Other public only combinations" dataDxfId="111" totalsRowDxfId="110" dataCellStyle="Comma"/>
    <tableColumn id="34" xr3:uid="{1A7C9FA0-14B0-4020-80BE-64029F88ED4F}" name="18 to 34 years - With two or more types of health insurance coverage &amp; Other coverage combinations" dataDxfId="109" totalsRowDxfId="108" dataCellStyle="Comma"/>
    <tableColumn id="71" xr3:uid="{32B52B67-44D2-4B6F-9E6C-F4A3FD858D92}" name="18 to 34 years - Penetration rate" dataDxfId="107" totalsRowDxfId="106" dataCellStyle="Percent">
      <calculatedColumnFormula>SUM(Table1[[#This Row],[18 to 34 years - With one type of health insurance coverage]:[18 to 34 years - With two or more types of health insurance coverage &amp; Other coverage combinations]])/Table1[[#This Row],[Total]]</calculatedColumnFormula>
    </tableColumn>
    <tableColumn id="83" xr3:uid="{5652AD95-F544-4828-B54E-722A2A788A7C}" name="18 to 34 years - Uninsured rate" dataDxfId="105" totalsRowDxfId="104" dataCellStyle="Percent">
      <calculatedColumnFormula>100%-Table1[[#This Row],[18 to 34 years - Penetration rate]]</calculatedColumnFormula>
    </tableColumn>
    <tableColumn id="35" xr3:uid="{EE08BBA5-3E61-4DB9-ACCF-0A4013E29CCF}" name="18 to 34 years - No health insurance coverage" dataDxfId="103" totalsRowDxfId="102" dataCellStyle="Comma"/>
    <tableColumn id="36" xr3:uid="{110555A1-BED7-4F26-9983-D696B6DABC14}" name="35 to 64 years" dataDxfId="101" totalsRowDxfId="100" dataCellStyle="Comma"/>
    <tableColumn id="77" xr3:uid="{9D565C62-988E-41D1-8459-648160EB22AF}" name="Total Insured Under 35 to 64 years" totalsRowFunction="sum" dataDxfId="99" totalsRowDxfId="98" dataCellStyle="Comma">
      <calculatedColumnFormula>SUM(Table1[[#This Row],[35 to 64 years - With one type of health insurance coverage]:[35 to 64 years - With two or more types of health insurance coverage &amp; Other coverage combinations]])</calculatedColumnFormula>
    </tableColumn>
    <tableColumn id="89" xr3:uid="{8D41B77C-3E8B-4396-B27E-7DC864065E5E}" name="Coverage Rate ( 35 to 64 years )" dataDxfId="97" totalsRowDxfId="96" dataCellStyle="Percent" totalsRowCellStyle="Percent">
      <calculatedColumnFormula>(Table1[[#This Row],[35 to 64 years]]-Table1[[#This Row],[35 to 64 years - No health insurance coverage]])/Table1[[#This Row],[35 to 64 years]]</calculatedColumnFormula>
    </tableColumn>
    <tableColumn id="86" xr3:uid="{CAF7C98F-6ABE-4FB5-920E-0B67C131401E}" name="35 to 64 years - Real Coverage Rate" dataDxfId="95" totalsRowDxfId="94" dataCellStyle="Percent">
      <calculatedColumnFormula>IFERROR(Table1[[#This Row],[Coverage Rate ( 35 to 64 years )]], 0)</calculatedColumnFormula>
    </tableColumn>
    <tableColumn id="37" xr3:uid="{53DF27BB-7F4F-46CA-A17A-17DACAE4217D}" name="35 to 64 years - With one type of health insurance coverage" dataDxfId="93" totalsRowDxfId="92" dataCellStyle="Comma"/>
    <tableColumn id="38" xr3:uid="{CC2E2987-6C25-4477-9F6D-D6700498E760}" name="35 to 64 years - With one type of health insurance coverage &amp; employer-based health insurance only" dataDxfId="91" totalsRowDxfId="90" dataCellStyle="Comma"/>
    <tableColumn id="39" xr3:uid="{0EE1C1B0-89CC-495D-956D-D6946438C1A2}" name="35 to 64 years - With one type of health insurance coverage &amp; direct-purchase health insurance only" dataDxfId="89" totalsRowDxfId="88" dataCellStyle="Comma"/>
    <tableColumn id="40" xr3:uid="{4A4BF2CA-C6DC-483C-82A4-00730E7FAF94}" name="35 to 64 years - With one type of health insurance coverage &amp; Medicare coverage only" dataDxfId="87" totalsRowDxfId="86" dataCellStyle="Comma"/>
    <tableColumn id="41" xr3:uid="{A826980E-B119-4963-9B4D-A0E755E73FD9}" name="35 to 64 years - With one type of health insurance coverage &amp; Medicaid/means-tested public coverage only" dataDxfId="85" totalsRowDxfId="84" dataCellStyle="Comma"/>
    <tableColumn id="42" xr3:uid="{AF71741B-A457-41FB-85D7-A9A858DE98CE}" name="35 to 64 years - With one type of health insurance coverage &amp; TRICARE/military health coverage only" dataDxfId="83" totalsRowDxfId="82" dataCellStyle="Comma"/>
    <tableColumn id="43" xr3:uid="{5D0BB346-D325-4086-87DB-36410DDDC26D}" name="35 to 64 years - With one type of health insurance coverage &amp; VA Health Care only" dataDxfId="81" totalsRowDxfId="80" dataCellStyle="Comma"/>
    <tableColumn id="44" xr3:uid="{A6596AF4-DE00-4934-9DDD-78647DFF5454}" name="35 to 64 years - With two or more types of health insurance coverage" dataDxfId="79" totalsRowDxfId="78" dataCellStyle="Comma"/>
    <tableColumn id="45" xr3:uid="{FFD13946-9DC2-44AC-8C64-9BC1DEABF075}" name="35 to 64 years - With two or more types of health insurance coverage, employer-based &amp; direct-purchase coverage" dataDxfId="77" totalsRowDxfId="76" dataCellStyle="Comma"/>
    <tableColumn id="46" xr3:uid="{E43B7097-AA45-4D4A-BFFD-062DDE0467FC}" name="35 to 64 years - With two or more types of health insurance coverage, employer-based &amp; Medicare coverage" dataDxfId="75" totalsRowDxfId="74" dataCellStyle="Comma"/>
    <tableColumn id="47" xr3:uid="{F03617A0-E35D-4AD6-AB4B-3C2164B74D88}" name="35 to 64 years - With two or more types of health insurance coverage, direct-purchase &amp; Medicare coverage" dataDxfId="73" totalsRowDxfId="72" dataCellStyle="Comma"/>
    <tableColumn id="48" xr3:uid="{72595A5F-1E96-4FCB-81E2-AAADE870E72B}" name="35 to 64 years - With two or more types of health insurance coverage &amp; Medicare and Medicaid/means-tested public coverage" dataDxfId="71" totalsRowDxfId="70" dataCellStyle="Comma"/>
    <tableColumn id="49" xr3:uid="{F64801A0-E541-4834-932C-74B04836E383}" name="35 to 64 years - With two or more types of health insurance coverage &amp; Other private only combinations" dataDxfId="69" totalsRowDxfId="68" dataCellStyle="Comma"/>
    <tableColumn id="50" xr3:uid="{48A17817-D612-4B09-B413-6E072482383D}" name="35 to 64 years - With two or more types of health insurance coverage &amp; Other public only combinations" dataDxfId="67" totalsRowDxfId="66" dataCellStyle="Comma"/>
    <tableColumn id="51" xr3:uid="{87589D5F-3560-4161-9309-26EACBC7893E}" name="35 to 64 years - With two or more types of health insurance coverage &amp; Other coverage combinations" dataDxfId="65" totalsRowDxfId="64" dataCellStyle="Comma"/>
    <tableColumn id="72" xr3:uid="{836E0361-EC76-4337-A642-CBBF9C8258B0}" name="35 to 64 years - Penetration Rate" dataDxfId="63" totalsRowDxfId="62" dataCellStyle="Percent">
      <calculatedColumnFormula>SUM(Table1[[#This Row],[35 to 64 years - With one type of health insurance coverage]:[35 to 64 years - With two or more types of health insurance coverage &amp; Other coverage combinations]])/Table1[[#This Row],[Total]]</calculatedColumnFormula>
    </tableColumn>
    <tableColumn id="84" xr3:uid="{3090477E-98B7-428B-B639-EBABDD689935}" name="35 to 64 years - Uninsured rate" dataDxfId="61" totalsRowDxfId="60" dataCellStyle="Percent">
      <calculatedColumnFormula>100%-Table1[[#This Row],[35 to 64 years - Penetration Rate]]</calculatedColumnFormula>
    </tableColumn>
    <tableColumn id="52" xr3:uid="{4F9881D5-FF39-4A05-8C01-A4ADAF7FC35B}" name="35 to 64 years - No health insurance coverage" dataDxfId="59" totalsRowDxfId="58" dataCellStyle="Comma"/>
    <tableColumn id="53" xr3:uid="{69B48B60-1CF0-4ECF-9985-FF0596AD47F4}" name="65 years and over" dataDxfId="57" totalsRowDxfId="56" dataCellStyle="Comma"/>
    <tableColumn id="78" xr3:uid="{1B6786A0-B906-4B0F-AB6E-2E54863A9705}" name="Total Insured Under 65 years and over" totalsRowFunction="sum" dataDxfId="55" totalsRowDxfId="54" dataCellStyle="Comma">
      <calculatedColumnFormula>SUM(Table1[[#This Row],[65 years and over - With one type of health insurance coverage]:[65 years and over - With two or more types of health insurance coverage &amp; Other coverage combinations]])</calculatedColumnFormula>
    </tableColumn>
    <tableColumn id="90" xr3:uid="{5697AA12-5952-4F1E-AE5C-0A7871532118}" name="Coverage Rate ( 65 years and over )" dataDxfId="53" totalsRowDxfId="52" dataCellStyle="Percent" totalsRowCellStyle="Percent">
      <calculatedColumnFormula>(Table1[[#This Row],[65 years and over]]-Table1[[#This Row],[65 years and over - No health insurance coverage]])/Table1[[#This Row],[65 years and over]]</calculatedColumnFormula>
    </tableColumn>
    <tableColumn id="87" xr3:uid="{60A808B0-EC6C-44A7-AE37-AD96A891751D}" name="65 years and over - Real Coverage Rate" dataDxfId="51" totalsRowDxfId="50" dataCellStyle="Percent">
      <calculatedColumnFormula>IFERROR(Table1[[#This Row],[Coverage Rate ( 65 years and over )]], 0)</calculatedColumnFormula>
    </tableColumn>
    <tableColumn id="54" xr3:uid="{D365102E-62C9-4D90-9228-053956863AC3}" name="65 years and over - With one type of health insurance coverage" dataDxfId="49" totalsRowDxfId="48" dataCellStyle="Comma"/>
    <tableColumn id="55" xr3:uid="{CC499B3D-5569-4C1E-9CF2-FC9354013794}" name="65 years and over - With one type of health insurance coverage &amp; employer-based health insurance only" dataDxfId="47" totalsRowDxfId="46" dataCellStyle="Comma"/>
    <tableColumn id="56" xr3:uid="{3499296D-F9CE-41E1-A561-22B31A9A52EC}" name="65 years and over - With one type of health insurance coverage &amp; direct-purchase health insurance only" dataDxfId="45" totalsRowDxfId="44" dataCellStyle="Comma"/>
    <tableColumn id="57" xr3:uid="{5E0ED78E-CAF3-437A-B173-DF21729D6BDF}" name="65 years and over - With one type of health insurance coverage &amp; Medicare coverage only" dataDxfId="43" totalsRowDxfId="42" dataCellStyle="Comma"/>
    <tableColumn id="58" xr3:uid="{32B47F0F-5F6C-4FAF-B163-5394D52D42E7}" name="65 years and over - With one type of health insurance coverage &amp; TRICARE/military health coverage only" dataDxfId="41" totalsRowDxfId="40" dataCellStyle="Comma"/>
    <tableColumn id="59" xr3:uid="{4BEDC196-AC5B-46D1-81B6-F9682EFB0AD9}" name="65 years and over - With one type of health insurance coverage &amp; With VA Health Care only" dataDxfId="39" totalsRowDxfId="38" dataCellStyle="Comma"/>
    <tableColumn id="60" xr3:uid="{5023C1CD-5E79-4668-9270-EA2ACBBA0FEA}" name="65 years and over - With two or more types of health insurance coverage" dataDxfId="37" totalsRowDxfId="36" dataCellStyle="Comma"/>
    <tableColumn id="61" xr3:uid="{3280E283-C037-4812-85D0-FF424C22EFD9}" name="65 years and over - With two or more types of health insurance coverage, employer-based &amp; direct-purchase coverage" dataDxfId="35" totalsRowDxfId="34" dataCellStyle="Comma"/>
    <tableColumn id="62" xr3:uid="{123E656A-4A7B-4CF7-90AA-CAF781229E30}" name="65 years and over - With two or more types of health insurance coverage, employer-based &amp; Medicare coverage" dataDxfId="33" totalsRowDxfId="32" dataCellStyle="Comma"/>
    <tableColumn id="63" xr3:uid="{0F4DEA07-C652-4A31-9A1E-666496A6CB4D}" name="65 years and over - With two or more types of health insurance coverage, direct-purchase &amp; Medicare coverage" dataDxfId="31" totalsRowDxfId="30" dataCellStyle="Comma"/>
    <tableColumn id="64" xr3:uid="{F569BBE8-8EED-48DF-A63F-F38466EA4FDA}" name="65 years and over - With two or more types of health insurance coverage, Medicare &amp; Medicaid/means-tested public coverage" dataDxfId="29" totalsRowDxfId="28" dataCellStyle="Comma"/>
    <tableColumn id="65" xr3:uid="{BE604939-53F5-441B-99FC-716581D8E24E}" name="65 years and over - With two or more types of health insurance coverage &amp; Other private only combinations" dataDxfId="27" totalsRowDxfId="26" dataCellStyle="Comma"/>
    <tableColumn id="66" xr3:uid="{37BB1AFE-E896-45E2-A115-8F3F83197D90}" name="65 years and over - With two or more types of health insurance coverage &amp; Other public only combinations" dataDxfId="25" totalsRowDxfId="24" dataCellStyle="Comma"/>
    <tableColumn id="67" xr3:uid="{ACEA1771-9FAC-4084-A255-0F23DAD49E3F}" name="65 years and over - With two or more types of health insurance coverage &amp; Other coverage combinations" dataDxfId="23" totalsRowDxfId="22" dataCellStyle="Comma"/>
    <tableColumn id="73" xr3:uid="{F023996A-DC5B-4402-86C4-E20BEFD4FB1E}" name="65 years and over - Penetration Rate" dataDxfId="21" totalsRowDxfId="20" dataCellStyle="Percent">
      <calculatedColumnFormula>SUM(Table1[[#This Row],[65 years and over - With one type of health insurance coverage]:[65 years and over - With two or more types of health insurance coverage &amp; Other coverage combinations]])/Table1[[#This Row],[Total]]</calculatedColumnFormula>
    </tableColumn>
    <tableColumn id="85" xr3:uid="{7E395360-CEBC-465D-BD93-EAD155A11D62}" name="65 years and over - Uninsured rate" dataDxfId="19" totalsRowDxfId="18" dataCellStyle="Percent">
      <calculatedColumnFormula>100%-Table1[[#This Row],[65 years and over - Penetration Rate]]</calculatedColumnFormula>
    </tableColumn>
    <tableColumn id="68" xr3:uid="{C6EAB90D-93DA-42E3-A101-EC4EDB40AE0F}" name="65 years and over - No health insurance coverage" dataDxfId="17" totalsRowDxfId="16" dataCellStyle="Comma"/>
    <tableColumn id="69" xr3:uid="{8F551709-6AAB-413A-B790-89D4DBDBF877}" name="Total Insured Neighborhood" totalsRowFunction="custom" dataDxfId="15" totalsRowDxfId="14" dataCellStyle="Comma">
      <totalsRowFormula>SUM(Table1[[#Totals],[Total Insured Under 18 years]:[65 years and over - No health insurance coverage]])</totalsRowFormula>
    </tableColumn>
  </tableColumns>
  <tableStyleInfo name="TableStyleLight2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592DDC-D449-48F6-B8F1-3A30BC9C9B95}" name="Table46" displayName="Table46" ref="F1:H5" totalsRowShown="0" headerRowDxfId="2">
  <autoFilter ref="F1:H5" xr:uid="{8A592DDC-D449-48F6-B8F1-3A30BC9C9B95}"/>
  <tableColumns count="3">
    <tableColumn id="1" xr3:uid="{413D028E-2A5C-4DDB-8327-C5DDBD22F8D8}" name="Age Group"/>
    <tableColumn id="2" xr3:uid="{EBDE4735-C395-407A-A7FB-837EFA1A40A4}" name="Avg Penetration Rate" dataDxfId="1">
      <calculatedColumnFormula>GETPIVOTDATA("Under 18 years - Penetration Rate",$A$3)</calculatedColumnFormula>
    </tableColumn>
    <tableColumn id="3" xr3:uid="{5796655F-B657-4B0D-90F1-B30047B7A0BB}" name="Avg Coverage Rate" dataDxfId="0">
      <calculatedColumnFormula>GETPIVOTDATA("Real Coverage Rate ( 18 to 34 years )",$L$3)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048573"/>
  <sheetViews>
    <sheetView topLeftCell="A2" zoomScale="69" zoomScaleNormal="69" workbookViewId="0">
      <selection activeCell="B93" sqref="B93"/>
    </sheetView>
  </sheetViews>
  <sheetFormatPr defaultRowHeight="14.5" x14ac:dyDescent="0.35"/>
  <cols>
    <col min="1" max="1" width="49.6328125" customWidth="1"/>
    <col min="2" max="2" width="8.81640625" customWidth="1"/>
    <col min="3" max="3" width="15.81640625" customWidth="1"/>
    <col min="4" max="4" width="18.26953125" customWidth="1"/>
    <col min="5" max="5" width="80.26953125" customWidth="1"/>
    <col min="6" max="6" width="56.54296875" customWidth="1"/>
    <col min="7" max="7" width="91.08984375" customWidth="1"/>
    <col min="8" max="8" width="89.453125" customWidth="1"/>
    <col min="9" max="9" width="77.1796875" customWidth="1"/>
    <col min="10" max="10" width="94.7265625" customWidth="1"/>
    <col min="11" max="11" width="90.08984375" customWidth="1"/>
    <col min="12" max="12" width="74.90625" customWidth="1"/>
    <col min="13" max="13" width="64.36328125" customWidth="1"/>
    <col min="14" max="14" width="100.1796875" customWidth="1"/>
    <col min="15" max="15" width="96.26953125" customWidth="1"/>
    <col min="16" max="16" width="109.1796875" customWidth="1"/>
    <col min="17" max="17" width="92.1796875" customWidth="1"/>
    <col min="18" max="18" width="94" customWidth="1"/>
    <col min="19" max="19" width="92.08984375" customWidth="1"/>
    <col min="20" max="21" width="92.08984375" style="10" customWidth="1"/>
    <col min="22" max="22" width="47.6328125" customWidth="1"/>
    <col min="23" max="23" width="23.08984375" customWidth="1"/>
    <col min="24" max="24" width="71.1796875" customWidth="1"/>
    <col min="25" max="26" width="95.54296875" style="10" customWidth="1"/>
    <col min="27" max="27" width="54.54296875" customWidth="1"/>
    <col min="28" max="28" width="94.1796875" customWidth="1"/>
    <col min="29" max="29" width="92.26953125" customWidth="1"/>
    <col min="30" max="30" width="80.90625" customWidth="1"/>
    <col min="31" max="31" width="98" customWidth="1"/>
    <col min="32" max="32" width="91.36328125" customWidth="1"/>
    <col min="33" max="33" width="76.1796875" customWidth="1"/>
    <col min="34" max="34" width="66.90625" customWidth="1"/>
    <col min="35" max="35" width="107.1796875" customWidth="1"/>
    <col min="36" max="36" width="99.36328125" customWidth="1"/>
    <col min="37" max="37" width="109.453125" customWidth="1"/>
    <col min="38" max="38" width="93.54296875" customWidth="1"/>
    <col min="39" max="39" width="95.90625" customWidth="1"/>
    <col min="40" max="40" width="92.08984375" customWidth="1"/>
    <col min="41" max="41" width="92.08984375" style="10" customWidth="1"/>
    <col min="42" max="42" width="72.54296875" style="10" customWidth="1"/>
    <col min="43" max="43" width="46.453125" customWidth="1"/>
    <col min="44" max="44" width="18.7265625" customWidth="1"/>
    <col min="45" max="45" width="62" customWidth="1"/>
    <col min="46" max="47" width="62" style="10" customWidth="1"/>
    <col min="48" max="48" width="58.81640625" customWidth="1"/>
    <col min="49" max="49" width="88.81640625" customWidth="1"/>
    <col min="50" max="50" width="85.7265625" customWidth="1"/>
    <col min="51" max="51" width="77.90625" customWidth="1"/>
    <col min="52" max="52" width="94.453125" customWidth="1"/>
    <col min="53" max="53" width="87.6328125" customWidth="1"/>
    <col min="54" max="54" width="76" customWidth="1"/>
    <col min="55" max="55" width="62.453125" customWidth="1"/>
    <col min="56" max="56" width="103.453125" customWidth="1"/>
    <col min="57" max="57" width="95.90625" customWidth="1"/>
    <col min="58" max="58" width="94.36328125" customWidth="1"/>
    <col min="59" max="59" width="109.26953125" customWidth="1"/>
    <col min="60" max="60" width="94.453125" customWidth="1"/>
    <col min="61" max="61" width="93" customWidth="1"/>
    <col min="62" max="62" width="91.453125" customWidth="1"/>
    <col min="63" max="64" width="91.453125" style="10" customWidth="1"/>
    <col min="65" max="65" width="43.36328125" customWidth="1"/>
    <col min="66" max="66" width="24.90625" customWidth="1"/>
    <col min="67" max="67" width="73.6328125" customWidth="1"/>
    <col min="68" max="69" width="73.6328125" style="10" customWidth="1"/>
    <col min="70" max="70" width="58" customWidth="1"/>
    <col min="71" max="71" width="91.7265625" customWidth="1"/>
    <col min="72" max="72" width="93.453125" customWidth="1"/>
    <col min="73" max="73" width="82" customWidth="1"/>
    <col min="74" max="74" width="93.54296875" customWidth="1"/>
    <col min="75" max="75" width="84" customWidth="1"/>
    <col min="76" max="76" width="66.1796875" customWidth="1"/>
    <col min="77" max="77" width="105.36328125" customWidth="1"/>
    <col min="78" max="78" width="99.36328125" customWidth="1"/>
    <col min="79" max="79" width="99.7265625" customWidth="1"/>
    <col min="80" max="80" width="109.08984375" customWidth="1"/>
    <col min="81" max="81" width="97.36328125" customWidth="1"/>
    <col min="82" max="82" width="96.1796875" customWidth="1"/>
    <col min="83" max="83" width="94.54296875" customWidth="1"/>
    <col min="84" max="85" width="94.54296875" style="10" customWidth="1"/>
    <col min="86" max="86" width="46.54296875" customWidth="1"/>
    <col min="87" max="87" width="73.453125" customWidth="1"/>
  </cols>
  <sheetData>
    <row r="1" spans="1:87" s="4" customFormat="1" x14ac:dyDescent="0.35">
      <c r="A1" s="2" t="s">
        <v>0</v>
      </c>
      <c r="B1" s="2" t="s">
        <v>1</v>
      </c>
      <c r="C1" s="2" t="s">
        <v>2</v>
      </c>
      <c r="D1" s="2" t="s">
        <v>3</v>
      </c>
      <c r="E1" s="2" t="s">
        <v>160</v>
      </c>
      <c r="F1" s="2" t="s">
        <v>98</v>
      </c>
      <c r="G1" s="2" t="s">
        <v>99</v>
      </c>
      <c r="H1" s="3" t="s">
        <v>100</v>
      </c>
      <c r="I1" s="2" t="s">
        <v>101</v>
      </c>
      <c r="J1" s="2" t="s">
        <v>102</v>
      </c>
      <c r="K1" s="2" t="s">
        <v>103</v>
      </c>
      <c r="L1" s="2" t="s">
        <v>104</v>
      </c>
      <c r="M1" s="2" t="s">
        <v>105</v>
      </c>
      <c r="N1" s="2" t="s">
        <v>106</v>
      </c>
      <c r="O1" s="2" t="s">
        <v>107</v>
      </c>
      <c r="P1" s="2" t="s">
        <v>108</v>
      </c>
      <c r="Q1" s="2" t="s">
        <v>109</v>
      </c>
      <c r="R1" s="2" t="s">
        <v>110</v>
      </c>
      <c r="S1" s="2" t="s">
        <v>111</v>
      </c>
      <c r="T1" s="8" t="s">
        <v>166</v>
      </c>
      <c r="U1" s="8" t="s">
        <v>169</v>
      </c>
      <c r="V1" s="2" t="s">
        <v>112</v>
      </c>
      <c r="W1" s="2" t="s">
        <v>4</v>
      </c>
      <c r="X1" s="2" t="s">
        <v>161</v>
      </c>
      <c r="Y1" s="8" t="s">
        <v>179</v>
      </c>
      <c r="Z1" s="8" t="s">
        <v>180</v>
      </c>
      <c r="AA1" s="2" t="s">
        <v>113</v>
      </c>
      <c r="AB1" s="2" t="s">
        <v>114</v>
      </c>
      <c r="AC1" s="2" t="s">
        <v>115</v>
      </c>
      <c r="AD1" s="2" t="s">
        <v>116</v>
      </c>
      <c r="AE1" s="2" t="s">
        <v>117</v>
      </c>
      <c r="AF1" s="2" t="s">
        <v>118</v>
      </c>
      <c r="AG1" s="2" t="s">
        <v>119</v>
      </c>
      <c r="AH1" s="2" t="s">
        <v>120</v>
      </c>
      <c r="AI1" s="2" t="s">
        <v>121</v>
      </c>
      <c r="AJ1" s="2" t="s">
        <v>122</v>
      </c>
      <c r="AK1" s="2" t="s">
        <v>123</v>
      </c>
      <c r="AL1" s="2" t="s">
        <v>124</v>
      </c>
      <c r="AM1" s="2" t="s">
        <v>125</v>
      </c>
      <c r="AN1" s="2" t="s">
        <v>126</v>
      </c>
      <c r="AO1" s="8" t="s">
        <v>167</v>
      </c>
      <c r="AP1" s="8" t="s">
        <v>170</v>
      </c>
      <c r="AQ1" s="2" t="s">
        <v>127</v>
      </c>
      <c r="AR1" s="2" t="s">
        <v>5</v>
      </c>
      <c r="AS1" s="2" t="s">
        <v>162</v>
      </c>
      <c r="AT1" s="8" t="s">
        <v>181</v>
      </c>
      <c r="AU1" s="8" t="s">
        <v>177</v>
      </c>
      <c r="AV1" s="2" t="s">
        <v>128</v>
      </c>
      <c r="AW1" s="2" t="s">
        <v>129</v>
      </c>
      <c r="AX1" s="2" t="s">
        <v>130</v>
      </c>
      <c r="AY1" s="2" t="s">
        <v>131</v>
      </c>
      <c r="AZ1" s="2" t="s">
        <v>132</v>
      </c>
      <c r="BA1" s="2" t="s">
        <v>133</v>
      </c>
      <c r="BB1" s="2" t="s">
        <v>134</v>
      </c>
      <c r="BC1" s="2" t="s">
        <v>135</v>
      </c>
      <c r="BD1" s="2" t="s">
        <v>136</v>
      </c>
      <c r="BE1" s="2" t="s">
        <v>137</v>
      </c>
      <c r="BF1" s="2" t="s">
        <v>138</v>
      </c>
      <c r="BG1" s="2" t="s">
        <v>139</v>
      </c>
      <c r="BH1" s="2" t="s">
        <v>140</v>
      </c>
      <c r="BI1" s="2" t="s">
        <v>141</v>
      </c>
      <c r="BJ1" s="2" t="s">
        <v>142</v>
      </c>
      <c r="BK1" s="8" t="s">
        <v>165</v>
      </c>
      <c r="BL1" s="8" t="s">
        <v>171</v>
      </c>
      <c r="BM1" s="2" t="s">
        <v>143</v>
      </c>
      <c r="BN1" s="2" t="s">
        <v>6</v>
      </c>
      <c r="BO1" s="2" t="s">
        <v>163</v>
      </c>
      <c r="BP1" s="8" t="s">
        <v>182</v>
      </c>
      <c r="BQ1" s="8" t="s">
        <v>178</v>
      </c>
      <c r="BR1" s="2" t="s">
        <v>144</v>
      </c>
      <c r="BS1" s="2" t="s">
        <v>145</v>
      </c>
      <c r="BT1" s="2" t="s">
        <v>146</v>
      </c>
      <c r="BU1" s="2" t="s">
        <v>147</v>
      </c>
      <c r="BV1" s="2" t="s">
        <v>148</v>
      </c>
      <c r="BW1" s="2" t="s">
        <v>149</v>
      </c>
      <c r="BX1" s="2" t="s">
        <v>150</v>
      </c>
      <c r="BY1" s="2" t="s">
        <v>151</v>
      </c>
      <c r="BZ1" s="2" t="s">
        <v>152</v>
      </c>
      <c r="CA1" s="2" t="s">
        <v>153</v>
      </c>
      <c r="CB1" s="2" t="s">
        <v>154</v>
      </c>
      <c r="CC1" s="2" t="s">
        <v>155</v>
      </c>
      <c r="CD1" s="2" t="s">
        <v>156</v>
      </c>
      <c r="CE1" s="2" t="s">
        <v>157</v>
      </c>
      <c r="CF1" s="8" t="s">
        <v>168</v>
      </c>
      <c r="CG1" s="8" t="s">
        <v>172</v>
      </c>
      <c r="CH1" s="2" t="s">
        <v>158</v>
      </c>
      <c r="CI1" s="2" t="s">
        <v>164</v>
      </c>
    </row>
    <row r="2" spans="1:87" x14ac:dyDescent="0.35">
      <c r="A2" t="s">
        <v>7</v>
      </c>
      <c r="B2">
        <v>1</v>
      </c>
      <c r="C2" s="5">
        <v>1395</v>
      </c>
      <c r="D2" s="5">
        <v>181</v>
      </c>
      <c r="E2" s="5">
        <f>SUM(Table1[[#This Row],[Under 18 years - With one type of health insurance coverage]:[Under 18 years - With two or more types of health insurance coverage &amp; Other coverage combinations]])</f>
        <v>238</v>
      </c>
      <c r="F2" s="6">
        <v>103</v>
      </c>
      <c r="G2" s="6">
        <v>32</v>
      </c>
      <c r="H2" s="6">
        <v>0</v>
      </c>
      <c r="I2" s="6">
        <v>0</v>
      </c>
      <c r="J2" s="6">
        <v>71</v>
      </c>
      <c r="K2" s="6">
        <v>0</v>
      </c>
      <c r="L2" s="6">
        <v>0</v>
      </c>
      <c r="M2" s="6">
        <v>16</v>
      </c>
      <c r="N2" s="6">
        <v>0</v>
      </c>
      <c r="O2" s="6">
        <v>0</v>
      </c>
      <c r="P2" s="6">
        <v>0</v>
      </c>
      <c r="Q2" s="6">
        <v>0</v>
      </c>
      <c r="R2" s="6">
        <v>0</v>
      </c>
      <c r="S2" s="6">
        <v>16</v>
      </c>
      <c r="T2" s="9">
        <f>SUM(Table1[[#This Row],[Under 18 years - With one type of health insurance coverage]:[Under 18 years - With two or more types of health insurance coverage &amp; Other coverage combinations]])/Table1[[#This Row],[Total]]</f>
        <v>0.17060931899641577</v>
      </c>
      <c r="U2" s="11">
        <f>100%-Table1[[#This Row],[Under 18 years - Penetration Rate]]</f>
        <v>0.82939068100358426</v>
      </c>
      <c r="V2" s="6">
        <v>62</v>
      </c>
      <c r="W2" s="6">
        <v>723</v>
      </c>
      <c r="X2" s="6">
        <f>SUM(Table1[[#This Row],[18 to 34 years - With one type of health insurance coverage]:[18 to 34 years - With two or more types of health insurance coverage &amp; Other coverage combinations]])</f>
        <v>1308</v>
      </c>
      <c r="Y2" s="9">
        <f>(Table1[[#This Row],[18 to 34 years]] - Table1[[#This Row],[18 to 34 years - No health insurance coverage]]) / Table1[[#This Row],[18 to 34 years]]</f>
        <v>0.9045643153526971</v>
      </c>
      <c r="Z2" s="9">
        <f>IFERROR(Table1[[#This Row],[Coverage Rate ( 18 to 34 years )]], 0)</f>
        <v>0.9045643153526971</v>
      </c>
      <c r="AA2" s="6">
        <v>649</v>
      </c>
      <c r="AB2" s="6">
        <v>416</v>
      </c>
      <c r="AC2" s="6">
        <v>162</v>
      </c>
      <c r="AD2" s="6">
        <v>0</v>
      </c>
      <c r="AE2" s="6">
        <v>71</v>
      </c>
      <c r="AF2" s="6">
        <v>0</v>
      </c>
      <c r="AG2" s="6">
        <v>0</v>
      </c>
      <c r="AH2" s="6">
        <v>5</v>
      </c>
      <c r="AI2" s="6">
        <v>5</v>
      </c>
      <c r="AJ2" s="6">
        <v>0</v>
      </c>
      <c r="AK2" s="6">
        <v>0</v>
      </c>
      <c r="AL2" s="6">
        <v>0</v>
      </c>
      <c r="AM2" s="6">
        <v>0</v>
      </c>
      <c r="AN2" s="6">
        <v>0</v>
      </c>
      <c r="AO2" s="9">
        <f>SUM(Table1[[#This Row],[18 to 34 years - With one type of health insurance coverage]:[18 to 34 years - With two or more types of health insurance coverage &amp; Other coverage combinations]])/Table1[[#This Row],[Total]]</f>
        <v>0.93763440860215053</v>
      </c>
      <c r="AP2" s="9">
        <f>100%-Table1[[#This Row],[18 to 34 years - Penetration rate]]</f>
        <v>6.2365591397849474E-2</v>
      </c>
      <c r="AQ2" s="6">
        <v>69</v>
      </c>
      <c r="AR2" s="6">
        <v>323</v>
      </c>
      <c r="AS2" s="6">
        <f>SUM(Table1[[#This Row],[35 to 64 years - With one type of health insurance coverage]:[35 to 64 years - With two or more types of health insurance coverage &amp; Other coverage combinations]])</f>
        <v>584</v>
      </c>
      <c r="AT2" s="9">
        <f>(Table1[[#This Row],[35 to 64 years]]-Table1[[#This Row],[35 to 64 years - No health insurance coverage]])/Table1[[#This Row],[35 to 64 years]]</f>
        <v>0.90402476780185759</v>
      </c>
      <c r="AU2" s="9">
        <f>IFERROR(Table1[[#This Row],[Coverage Rate ( 35 to 64 years )]], 0)</f>
        <v>0.90402476780185759</v>
      </c>
      <c r="AV2" s="6">
        <v>232</v>
      </c>
      <c r="AW2" s="6">
        <v>169</v>
      </c>
      <c r="AX2" s="6">
        <v>19</v>
      </c>
      <c r="AY2" s="6">
        <v>16</v>
      </c>
      <c r="AZ2" s="6">
        <v>19</v>
      </c>
      <c r="BA2" s="6">
        <v>0</v>
      </c>
      <c r="BB2" s="6">
        <v>9</v>
      </c>
      <c r="BC2" s="6">
        <v>60</v>
      </c>
      <c r="BD2" s="6">
        <v>0</v>
      </c>
      <c r="BE2" s="6">
        <v>0</v>
      </c>
      <c r="BF2" s="6">
        <v>0</v>
      </c>
      <c r="BG2" s="6">
        <v>14</v>
      </c>
      <c r="BH2" s="6">
        <v>12</v>
      </c>
      <c r="BI2" s="6">
        <v>0</v>
      </c>
      <c r="BJ2" s="6">
        <v>34</v>
      </c>
      <c r="BK2" s="9">
        <f>SUM(Table1[[#This Row],[35 to 64 years - With one type of health insurance coverage]:[35 to 64 years - With two or more types of health insurance coverage &amp; Other coverage combinations]])/Table1[[#This Row],[Total]]</f>
        <v>0.41863799283154124</v>
      </c>
      <c r="BL2" s="9">
        <f>100%-Table1[[#This Row],[35 to 64 years - Penetration Rate]]</f>
        <v>0.58136200716845876</v>
      </c>
      <c r="BM2" s="6">
        <v>31</v>
      </c>
      <c r="BN2" s="6">
        <v>168</v>
      </c>
      <c r="BO2" s="6">
        <f>SUM(Table1[[#This Row],[65 years and over - With one type of health insurance coverage]:[65 years and over - With two or more types of health insurance coverage &amp; Other coverage combinations]])</f>
        <v>336</v>
      </c>
      <c r="BP2" s="9">
        <f>(Table1[[#This Row],[65 years and over]]-Table1[[#This Row],[65 years and over - No health insurance coverage]])/Table1[[#This Row],[65 years and over]]</f>
        <v>1</v>
      </c>
      <c r="BQ2" s="9">
        <f>IFERROR(Table1[[#This Row],[Coverage Rate ( 65 years and over )]], 0)</f>
        <v>1</v>
      </c>
      <c r="BR2" s="6">
        <v>78</v>
      </c>
      <c r="BS2" s="6">
        <v>0</v>
      </c>
      <c r="BT2" s="6">
        <v>0</v>
      </c>
      <c r="BU2" s="6">
        <v>78</v>
      </c>
      <c r="BV2" s="6">
        <v>0</v>
      </c>
      <c r="BW2" s="6">
        <v>0</v>
      </c>
      <c r="BX2" s="6">
        <v>90</v>
      </c>
      <c r="BY2" s="6">
        <v>0</v>
      </c>
      <c r="BZ2" s="6">
        <v>34</v>
      </c>
      <c r="CA2" s="6">
        <v>14</v>
      </c>
      <c r="CB2" s="6">
        <v>10</v>
      </c>
      <c r="CC2" s="6">
        <v>0</v>
      </c>
      <c r="CD2" s="6">
        <v>0</v>
      </c>
      <c r="CE2" s="6">
        <v>32</v>
      </c>
      <c r="CF2" s="9">
        <f>SUM(Table1[[#This Row],[65 years and over - With one type of health insurance coverage]:[65 years and over - With two or more types of health insurance coverage &amp; Other coverage combinations]])/Table1[[#This Row],[Total]]</f>
        <v>0.24086021505376345</v>
      </c>
      <c r="CG2" s="9">
        <f>100%-Table1[[#This Row],[65 years and over - Penetration Rate]]</f>
        <v>0.75913978494623657</v>
      </c>
      <c r="CH2" s="6">
        <v>0</v>
      </c>
      <c r="CI2" s="6"/>
    </row>
    <row r="3" spans="1:87" x14ac:dyDescent="0.35">
      <c r="A3" t="s">
        <v>8</v>
      </c>
      <c r="B3">
        <v>2</v>
      </c>
      <c r="C3" s="5">
        <v>343</v>
      </c>
      <c r="D3" s="5">
        <v>34</v>
      </c>
      <c r="E3" s="5">
        <f>SUM(Table1[[#This Row],[Under 18 years - With one type of health insurance coverage]:[Under 18 years - With two or more types of health insurance coverage &amp; Other coverage combinations]])</f>
        <v>68</v>
      </c>
      <c r="F3" s="6">
        <v>18</v>
      </c>
      <c r="G3" s="6">
        <v>18</v>
      </c>
      <c r="H3" s="6">
        <v>0</v>
      </c>
      <c r="I3" s="6">
        <v>0</v>
      </c>
      <c r="J3" s="6">
        <v>0</v>
      </c>
      <c r="K3" s="6">
        <v>0</v>
      </c>
      <c r="L3" s="6">
        <v>0</v>
      </c>
      <c r="M3" s="6">
        <v>16</v>
      </c>
      <c r="N3" s="6">
        <v>0</v>
      </c>
      <c r="O3" s="6">
        <v>0</v>
      </c>
      <c r="P3" s="6">
        <v>0</v>
      </c>
      <c r="Q3" s="6">
        <v>0</v>
      </c>
      <c r="R3" s="6">
        <v>0</v>
      </c>
      <c r="S3" s="6">
        <v>16</v>
      </c>
      <c r="T3" s="9">
        <f>SUM(Table1[[#This Row],[Under 18 years - With one type of health insurance coverage]:[Under 18 years - With two or more types of health insurance coverage &amp; Other coverage combinations]])/Table1[[#This Row],[Total]]</f>
        <v>0.19825072886297376</v>
      </c>
      <c r="U3" s="9">
        <f>100%-Table1[[#This Row],[Under 18 years - Penetration Rate]]</f>
        <v>0.80174927113702621</v>
      </c>
      <c r="V3" s="6">
        <v>0</v>
      </c>
      <c r="W3" s="6">
        <v>122</v>
      </c>
      <c r="X3" s="6">
        <f>SUM(Table1[[#This Row],[18 to 34 years - With one type of health insurance coverage]:[18 to 34 years - With two or more types of health insurance coverage &amp; Other coverage combinations]])</f>
        <v>178</v>
      </c>
      <c r="Y3" s="9">
        <f>(Table1[[#This Row],[18 to 34 years]] - Table1[[#This Row],[18 to 34 years - No health insurance coverage]]) / Table1[[#This Row],[18 to 34 years]]</f>
        <v>0.72950819672131151</v>
      </c>
      <c r="Z3" s="9">
        <f>IFERROR(Table1[[#This Row],[Coverage Rate ( 18 to 34 years )]], 0)</f>
        <v>0.72950819672131151</v>
      </c>
      <c r="AA3" s="6">
        <v>89</v>
      </c>
      <c r="AB3" s="6">
        <v>84</v>
      </c>
      <c r="AC3" s="6">
        <v>5</v>
      </c>
      <c r="AD3" s="6">
        <v>0</v>
      </c>
      <c r="AE3" s="6">
        <v>0</v>
      </c>
      <c r="AF3" s="6">
        <v>0</v>
      </c>
      <c r="AG3" s="6">
        <v>0</v>
      </c>
      <c r="AH3" s="6">
        <v>0</v>
      </c>
      <c r="AI3" s="6">
        <v>0</v>
      </c>
      <c r="AJ3" s="6">
        <v>0</v>
      </c>
      <c r="AK3" s="6">
        <v>0</v>
      </c>
      <c r="AL3" s="6">
        <v>0</v>
      </c>
      <c r="AM3" s="6">
        <v>0</v>
      </c>
      <c r="AN3" s="6">
        <v>0</v>
      </c>
      <c r="AO3" s="9">
        <f>SUM(Table1[[#This Row],[18 to 34 years - With one type of health insurance coverage]:[18 to 34 years - With two or more types of health insurance coverage &amp; Other coverage combinations]])/Table1[[#This Row],[Total]]</f>
        <v>0.51895043731778423</v>
      </c>
      <c r="AP3" s="9">
        <f>100%-Table1[[#This Row],[18 to 34 years - Penetration rate]]</f>
        <v>0.48104956268221577</v>
      </c>
      <c r="AQ3" s="6">
        <v>33</v>
      </c>
      <c r="AR3" s="6">
        <v>115</v>
      </c>
      <c r="AS3" s="6">
        <f>SUM(Table1[[#This Row],[35 to 64 years - With one type of health insurance coverage]:[35 to 64 years - With two or more types of health insurance coverage &amp; Other coverage combinations]])</f>
        <v>220</v>
      </c>
      <c r="AT3" s="9">
        <f>(Table1[[#This Row],[35 to 64 years]]-Table1[[#This Row],[35 to 64 years - No health insurance coverage]])/Table1[[#This Row],[35 to 64 years]]</f>
        <v>0.95652173913043481</v>
      </c>
      <c r="AU3" s="9">
        <f>IFERROR(Table1[[#This Row],[Coverage Rate ( 35 to 64 years )]], 0)</f>
        <v>0.95652173913043481</v>
      </c>
      <c r="AV3" s="6">
        <v>79</v>
      </c>
      <c r="AW3" s="6">
        <v>52</v>
      </c>
      <c r="AX3" s="6">
        <v>8</v>
      </c>
      <c r="AY3" s="6">
        <v>0</v>
      </c>
      <c r="AZ3" s="6">
        <v>0</v>
      </c>
      <c r="BA3" s="6">
        <v>0</v>
      </c>
      <c r="BB3" s="6">
        <v>19</v>
      </c>
      <c r="BC3" s="6">
        <v>31</v>
      </c>
      <c r="BD3" s="6">
        <v>0</v>
      </c>
      <c r="BE3" s="6">
        <v>0</v>
      </c>
      <c r="BF3" s="6">
        <v>0</v>
      </c>
      <c r="BG3" s="6">
        <v>5</v>
      </c>
      <c r="BH3" s="6">
        <v>0</v>
      </c>
      <c r="BI3" s="6">
        <v>0</v>
      </c>
      <c r="BJ3" s="6">
        <v>26</v>
      </c>
      <c r="BK3" s="9">
        <f>SUM(Table1[[#This Row],[35 to 64 years - With one type of health insurance coverage]:[35 to 64 years - With two or more types of health insurance coverage &amp; Other coverage combinations]])/Table1[[#This Row],[Total]]</f>
        <v>0.64139941690962099</v>
      </c>
      <c r="BL3" s="9">
        <f>100%-Table1[[#This Row],[35 to 64 years - Penetration Rate]]</f>
        <v>0.35860058309037901</v>
      </c>
      <c r="BM3" s="6">
        <v>5</v>
      </c>
      <c r="BN3" s="6">
        <v>72</v>
      </c>
      <c r="BO3" s="6">
        <f>SUM(Table1[[#This Row],[65 years and over - With one type of health insurance coverage]:[65 years and over - With two or more types of health insurance coverage &amp; Other coverage combinations]])</f>
        <v>144</v>
      </c>
      <c r="BP3" s="9">
        <f>(Table1[[#This Row],[65 years and over]]-Table1[[#This Row],[65 years and over - No health insurance coverage]])/Table1[[#This Row],[65 years and over]]</f>
        <v>1</v>
      </c>
      <c r="BQ3" s="9">
        <f>IFERROR(Table1[[#This Row],[Coverage Rate ( 65 years and over )]], 0)</f>
        <v>1</v>
      </c>
      <c r="BR3" s="6">
        <v>9</v>
      </c>
      <c r="BS3" s="6">
        <v>0</v>
      </c>
      <c r="BT3" s="6">
        <v>0</v>
      </c>
      <c r="BU3" s="6">
        <v>9</v>
      </c>
      <c r="BV3" s="6">
        <v>0</v>
      </c>
      <c r="BW3" s="6">
        <v>0</v>
      </c>
      <c r="BX3" s="6">
        <v>63</v>
      </c>
      <c r="BY3" s="6">
        <v>0</v>
      </c>
      <c r="BZ3" s="6">
        <v>23</v>
      </c>
      <c r="CA3" s="6">
        <v>34</v>
      </c>
      <c r="CB3" s="6">
        <v>0</v>
      </c>
      <c r="CC3" s="6">
        <v>0</v>
      </c>
      <c r="CD3" s="6">
        <v>0</v>
      </c>
      <c r="CE3" s="6">
        <v>6</v>
      </c>
      <c r="CF3" s="9">
        <f>SUM(Table1[[#This Row],[65 years and over - With one type of health insurance coverage]:[65 years and over - With two or more types of health insurance coverage &amp; Other coverage combinations]])/Table1[[#This Row],[Total]]</f>
        <v>0.41982507288629739</v>
      </c>
      <c r="CG3" s="9">
        <f>100%-Table1[[#This Row],[65 years and over - Penetration Rate]]</f>
        <v>0.58017492711370267</v>
      </c>
      <c r="CH3" s="6">
        <v>0</v>
      </c>
      <c r="CI3" s="6"/>
    </row>
    <row r="4" spans="1:87" x14ac:dyDescent="0.35">
      <c r="A4" t="s">
        <v>9</v>
      </c>
      <c r="B4">
        <v>3</v>
      </c>
      <c r="C4" s="5">
        <v>2558</v>
      </c>
      <c r="D4" s="5">
        <v>812</v>
      </c>
      <c r="E4" s="5">
        <f>SUM(Table1[[#This Row],[Under 18 years - With one type of health insurance coverage]:[Under 18 years - With two or more types of health insurance coverage &amp; Other coverage combinations]])</f>
        <v>1624</v>
      </c>
      <c r="F4" s="6">
        <v>781</v>
      </c>
      <c r="G4" s="6">
        <v>103</v>
      </c>
      <c r="H4" s="6">
        <v>26</v>
      </c>
      <c r="I4" s="6">
        <v>37</v>
      </c>
      <c r="J4" s="6">
        <v>615</v>
      </c>
      <c r="K4" s="6">
        <v>0</v>
      </c>
      <c r="L4" s="6">
        <v>0</v>
      </c>
      <c r="M4" s="6">
        <v>31</v>
      </c>
      <c r="N4" s="6">
        <v>0</v>
      </c>
      <c r="O4" s="6">
        <v>0</v>
      </c>
      <c r="P4" s="6">
        <v>0</v>
      </c>
      <c r="Q4" s="6">
        <v>0</v>
      </c>
      <c r="R4" s="6">
        <v>0</v>
      </c>
      <c r="S4" s="6">
        <v>31</v>
      </c>
      <c r="T4" s="9">
        <f>SUM(Table1[[#This Row],[Under 18 years - With one type of health insurance coverage]:[Under 18 years - With two or more types of health insurance coverage &amp; Other coverage combinations]])/Table1[[#This Row],[Total]]</f>
        <v>0.63487099296325256</v>
      </c>
      <c r="U4" s="9">
        <f>100%-Table1[[#This Row],[Under 18 years - Penetration Rate]]</f>
        <v>0.36512900703674744</v>
      </c>
      <c r="V4" s="6">
        <v>0</v>
      </c>
      <c r="W4" s="6">
        <v>470</v>
      </c>
      <c r="X4" s="6">
        <f>SUM(Table1[[#This Row],[18 to 34 years - With one type of health insurance coverage]:[18 to 34 years - With two or more types of health insurance coverage &amp; Other coverage combinations]])</f>
        <v>696</v>
      </c>
      <c r="Y4" s="9">
        <f>(Table1[[#This Row],[18 to 34 years]] - Table1[[#This Row],[18 to 34 years - No health insurance coverage]]) / Table1[[#This Row],[18 to 34 years]]</f>
        <v>0.74042553191489358</v>
      </c>
      <c r="Z4" s="9">
        <f>IFERROR(Table1[[#This Row],[Coverage Rate ( 18 to 34 years )]], 0)</f>
        <v>0.74042553191489358</v>
      </c>
      <c r="AA4" s="6">
        <v>338</v>
      </c>
      <c r="AB4" s="6">
        <v>159</v>
      </c>
      <c r="AC4" s="6">
        <v>10</v>
      </c>
      <c r="AD4" s="6">
        <v>0</v>
      </c>
      <c r="AE4" s="6">
        <v>169</v>
      </c>
      <c r="AF4" s="6">
        <v>0</v>
      </c>
      <c r="AG4" s="6">
        <v>0</v>
      </c>
      <c r="AH4" s="6">
        <v>10</v>
      </c>
      <c r="AI4" s="6">
        <v>0</v>
      </c>
      <c r="AJ4" s="6">
        <v>0</v>
      </c>
      <c r="AK4" s="6">
        <v>0</v>
      </c>
      <c r="AL4" s="6">
        <v>0</v>
      </c>
      <c r="AM4" s="6">
        <v>0</v>
      </c>
      <c r="AN4" s="6">
        <v>10</v>
      </c>
      <c r="AO4" s="9">
        <f>SUM(Table1[[#This Row],[18 to 34 years - With one type of health insurance coverage]:[18 to 34 years - With two or more types of health insurance coverage &amp; Other coverage combinations]])/Table1[[#This Row],[Total]]</f>
        <v>0.2720875684128225</v>
      </c>
      <c r="AP4" s="9">
        <f>100%-Table1[[#This Row],[18 to 34 years - Penetration rate]]</f>
        <v>0.72791243158717744</v>
      </c>
      <c r="AQ4" s="6">
        <v>122</v>
      </c>
      <c r="AR4" s="6">
        <v>1007</v>
      </c>
      <c r="AS4" s="6">
        <f>SUM(Table1[[#This Row],[35 to 64 years - With one type of health insurance coverage]:[35 to 64 years - With two or more types of health insurance coverage &amp; Other coverage combinations]])</f>
        <v>1634</v>
      </c>
      <c r="AT4" s="9">
        <f>(Table1[[#This Row],[35 to 64 years]]-Table1[[#This Row],[35 to 64 years - No health insurance coverage]])/Table1[[#This Row],[35 to 64 years]]</f>
        <v>0.81132075471698117</v>
      </c>
      <c r="AU4" s="9">
        <f>IFERROR(Table1[[#This Row],[Coverage Rate ( 35 to 64 years )]], 0)</f>
        <v>0.81132075471698117</v>
      </c>
      <c r="AV4" s="6">
        <v>648</v>
      </c>
      <c r="AW4" s="6">
        <v>322</v>
      </c>
      <c r="AX4" s="6">
        <v>73</v>
      </c>
      <c r="AY4" s="6">
        <v>11</v>
      </c>
      <c r="AZ4" s="6">
        <v>242</v>
      </c>
      <c r="BA4" s="6">
        <v>0</v>
      </c>
      <c r="BB4" s="6">
        <v>0</v>
      </c>
      <c r="BC4" s="6">
        <v>169</v>
      </c>
      <c r="BD4" s="6">
        <v>73</v>
      </c>
      <c r="BE4" s="6">
        <v>0</v>
      </c>
      <c r="BF4" s="6">
        <v>0</v>
      </c>
      <c r="BG4" s="6">
        <v>41</v>
      </c>
      <c r="BH4" s="6">
        <v>0</v>
      </c>
      <c r="BI4" s="6">
        <v>27</v>
      </c>
      <c r="BJ4" s="6">
        <v>28</v>
      </c>
      <c r="BK4" s="9">
        <f>SUM(Table1[[#This Row],[35 to 64 years - With one type of health insurance coverage]:[35 to 64 years - With two or more types of health insurance coverage &amp; Other coverage combinations]])/Table1[[#This Row],[Total]]</f>
        <v>0.63878029710711492</v>
      </c>
      <c r="BL4" s="9">
        <f>100%-Table1[[#This Row],[35 to 64 years - Penetration Rate]]</f>
        <v>0.36121970289288508</v>
      </c>
      <c r="BM4" s="6">
        <v>190</v>
      </c>
      <c r="BN4" s="6">
        <v>269</v>
      </c>
      <c r="BO4" s="6">
        <f>SUM(Table1[[#This Row],[65 years and over - With one type of health insurance coverage]:[65 years and over - With two or more types of health insurance coverage &amp; Other coverage combinations]])</f>
        <v>538</v>
      </c>
      <c r="BP4" s="9">
        <f>(Table1[[#This Row],[65 years and over]]-Table1[[#This Row],[65 years and over - No health insurance coverage]])/Table1[[#This Row],[65 years and over]]</f>
        <v>1</v>
      </c>
      <c r="BQ4" s="9">
        <f>IFERROR(Table1[[#This Row],[Coverage Rate ( 65 years and over )]], 0)</f>
        <v>1</v>
      </c>
      <c r="BR4" s="6">
        <v>47</v>
      </c>
      <c r="BS4" s="6">
        <v>0</v>
      </c>
      <c r="BT4" s="6">
        <v>0</v>
      </c>
      <c r="BU4" s="6">
        <v>47</v>
      </c>
      <c r="BV4" s="6">
        <v>0</v>
      </c>
      <c r="BW4" s="6">
        <v>0</v>
      </c>
      <c r="BX4" s="6">
        <v>222</v>
      </c>
      <c r="BY4" s="6">
        <v>0</v>
      </c>
      <c r="BZ4" s="6">
        <v>40</v>
      </c>
      <c r="CA4" s="6">
        <v>36</v>
      </c>
      <c r="CB4" s="6">
        <v>52</v>
      </c>
      <c r="CC4" s="6">
        <v>0</v>
      </c>
      <c r="CD4" s="6">
        <v>6</v>
      </c>
      <c r="CE4" s="6">
        <v>88</v>
      </c>
      <c r="CF4" s="9">
        <f>SUM(Table1[[#This Row],[65 years and over - With one type of health insurance coverage]:[65 years and over - With two or more types of health insurance coverage &amp; Other coverage combinations]])/Table1[[#This Row],[Total]]</f>
        <v>0.21032056293979673</v>
      </c>
      <c r="CG4" s="9">
        <f>100%-Table1[[#This Row],[65 years and over - Penetration Rate]]</f>
        <v>0.78967943706020327</v>
      </c>
      <c r="CH4" s="6">
        <v>0</v>
      </c>
      <c r="CI4" s="6"/>
    </row>
    <row r="5" spans="1:87" x14ac:dyDescent="0.35">
      <c r="A5" t="s">
        <v>10</v>
      </c>
      <c r="B5">
        <v>4</v>
      </c>
      <c r="C5" s="5">
        <v>1852</v>
      </c>
      <c r="D5" s="5">
        <v>338</v>
      </c>
      <c r="E5" s="5">
        <f>SUM(Table1[[#This Row],[Under 18 years - With one type of health insurance coverage]:[Under 18 years - With two or more types of health insurance coverage &amp; Other coverage combinations]])</f>
        <v>640</v>
      </c>
      <c r="F5" s="6">
        <v>216</v>
      </c>
      <c r="G5" s="6">
        <v>64</v>
      </c>
      <c r="H5" s="6">
        <v>0</v>
      </c>
      <c r="I5" s="6">
        <v>0</v>
      </c>
      <c r="J5" s="6">
        <v>152</v>
      </c>
      <c r="K5" s="6">
        <v>0</v>
      </c>
      <c r="L5" s="6">
        <v>0</v>
      </c>
      <c r="M5" s="6">
        <v>104</v>
      </c>
      <c r="N5" s="6">
        <v>0</v>
      </c>
      <c r="O5" s="6">
        <v>0</v>
      </c>
      <c r="P5" s="6">
        <v>21</v>
      </c>
      <c r="Q5" s="6">
        <v>0</v>
      </c>
      <c r="R5" s="6">
        <v>0</v>
      </c>
      <c r="S5" s="6">
        <v>83</v>
      </c>
      <c r="T5" s="9">
        <f>SUM(Table1[[#This Row],[Under 18 years - With one type of health insurance coverage]:[Under 18 years - With two or more types of health insurance coverage &amp; Other coverage combinations]])/Table1[[#This Row],[Total]]</f>
        <v>0.34557235421166305</v>
      </c>
      <c r="U5" s="9">
        <f>100%-Table1[[#This Row],[Under 18 years - Penetration Rate]]</f>
        <v>0.6544276457883369</v>
      </c>
      <c r="V5" s="6">
        <v>18</v>
      </c>
      <c r="W5" s="6">
        <v>570</v>
      </c>
      <c r="X5" s="6">
        <f>SUM(Table1[[#This Row],[18 to 34 years - With one type of health insurance coverage]:[18 to 34 years - With two or more types of health insurance coverage &amp; Other coverage combinations]])</f>
        <v>724</v>
      </c>
      <c r="Y5" s="9">
        <f>(Table1[[#This Row],[18 to 34 years]] - Table1[[#This Row],[18 to 34 years - No health insurance coverage]]) / Table1[[#This Row],[18 to 34 years]]</f>
        <v>0.63508771929824559</v>
      </c>
      <c r="Z5" s="9">
        <f>IFERROR(Table1[[#This Row],[Coverage Rate ( 18 to 34 years )]], 0)</f>
        <v>0.63508771929824559</v>
      </c>
      <c r="AA5" s="6">
        <v>336</v>
      </c>
      <c r="AB5" s="6">
        <v>265</v>
      </c>
      <c r="AC5" s="6">
        <v>23</v>
      </c>
      <c r="AD5" s="6">
        <v>0</v>
      </c>
      <c r="AE5" s="6">
        <v>36</v>
      </c>
      <c r="AF5" s="6">
        <v>0</v>
      </c>
      <c r="AG5" s="6">
        <v>12</v>
      </c>
      <c r="AH5" s="6">
        <v>26</v>
      </c>
      <c r="AI5" s="6">
        <v>7</v>
      </c>
      <c r="AJ5" s="6">
        <v>0</v>
      </c>
      <c r="AK5" s="6">
        <v>0</v>
      </c>
      <c r="AL5" s="6">
        <v>0</v>
      </c>
      <c r="AM5" s="6">
        <v>0</v>
      </c>
      <c r="AN5" s="6">
        <v>19</v>
      </c>
      <c r="AO5" s="9">
        <f>SUM(Table1[[#This Row],[18 to 34 years - With one type of health insurance coverage]:[18 to 34 years - With two or more types of health insurance coverage &amp; Other coverage combinations]])/Table1[[#This Row],[Total]]</f>
        <v>0.39092872570194387</v>
      </c>
      <c r="AP5" s="9">
        <f>100%-Table1[[#This Row],[18 to 34 years - Penetration rate]]</f>
        <v>0.60907127429805619</v>
      </c>
      <c r="AQ5" s="6">
        <v>208</v>
      </c>
      <c r="AR5" s="6">
        <v>773</v>
      </c>
      <c r="AS5" s="6">
        <f>SUM(Table1[[#This Row],[35 to 64 years - With one type of health insurance coverage]:[35 to 64 years - With two or more types of health insurance coverage &amp; Other coverage combinations]])</f>
        <v>1302</v>
      </c>
      <c r="AT5" s="9">
        <f>(Table1[[#This Row],[35 to 64 years]]-Table1[[#This Row],[35 to 64 years - No health insurance coverage]])/Table1[[#This Row],[35 to 64 years]]</f>
        <v>0.84217335058214748</v>
      </c>
      <c r="AU5" s="9">
        <f>IFERROR(Table1[[#This Row],[Coverage Rate ( 35 to 64 years )]], 0)</f>
        <v>0.84217335058214748</v>
      </c>
      <c r="AV5" s="6">
        <v>561</v>
      </c>
      <c r="AW5" s="6">
        <v>438</v>
      </c>
      <c r="AX5" s="6">
        <v>29</v>
      </c>
      <c r="AY5" s="6">
        <v>6</v>
      </c>
      <c r="AZ5" s="6">
        <v>88</v>
      </c>
      <c r="BA5" s="6">
        <v>0</v>
      </c>
      <c r="BB5" s="6">
        <v>0</v>
      </c>
      <c r="BC5" s="6">
        <v>90</v>
      </c>
      <c r="BD5" s="6">
        <v>14</v>
      </c>
      <c r="BE5" s="6">
        <v>0</v>
      </c>
      <c r="BF5" s="6">
        <v>7</v>
      </c>
      <c r="BG5" s="6">
        <v>42</v>
      </c>
      <c r="BH5" s="6">
        <v>10</v>
      </c>
      <c r="BI5" s="6">
        <v>8</v>
      </c>
      <c r="BJ5" s="6">
        <v>9</v>
      </c>
      <c r="BK5" s="9">
        <f>SUM(Table1[[#This Row],[35 to 64 years - With one type of health insurance coverage]:[35 to 64 years - With two or more types of health insurance coverage &amp; Other coverage combinations]])/Table1[[#This Row],[Total]]</f>
        <v>0.70302375809935203</v>
      </c>
      <c r="BL5" s="9">
        <f>100%-Table1[[#This Row],[35 to 64 years - Penetration Rate]]</f>
        <v>0.29697624190064797</v>
      </c>
      <c r="BM5" s="6">
        <v>122</v>
      </c>
      <c r="BN5" s="6">
        <v>171</v>
      </c>
      <c r="BO5" s="6">
        <f>SUM(Table1[[#This Row],[65 years and over - With one type of health insurance coverage]:[65 years and over - With two or more types of health insurance coverage &amp; Other coverage combinations]])</f>
        <v>342</v>
      </c>
      <c r="BP5" s="9">
        <f>(Table1[[#This Row],[65 years and over]]-Table1[[#This Row],[65 years and over - No health insurance coverage]])/Table1[[#This Row],[65 years and over]]</f>
        <v>1</v>
      </c>
      <c r="BQ5" s="9">
        <f>IFERROR(Table1[[#This Row],[Coverage Rate ( 65 years and over )]], 0)</f>
        <v>1</v>
      </c>
      <c r="BR5" s="6">
        <v>22</v>
      </c>
      <c r="BS5" s="6">
        <v>0</v>
      </c>
      <c r="BT5" s="6">
        <v>0</v>
      </c>
      <c r="BU5" s="6">
        <v>22</v>
      </c>
      <c r="BV5" s="6">
        <v>0</v>
      </c>
      <c r="BW5" s="6">
        <v>0</v>
      </c>
      <c r="BX5" s="6">
        <v>149</v>
      </c>
      <c r="BY5" s="6">
        <v>0</v>
      </c>
      <c r="BZ5" s="6">
        <v>17</v>
      </c>
      <c r="CA5" s="6">
        <v>61</v>
      </c>
      <c r="CB5" s="6">
        <v>26</v>
      </c>
      <c r="CC5" s="6">
        <v>0</v>
      </c>
      <c r="CD5" s="6">
        <v>11</v>
      </c>
      <c r="CE5" s="6">
        <v>34</v>
      </c>
      <c r="CF5" s="9">
        <f>SUM(Table1[[#This Row],[65 years and over - With one type of health insurance coverage]:[65 years and over - With two or more types of health insurance coverage &amp; Other coverage combinations]])/Table1[[#This Row],[Total]]</f>
        <v>0.18466522678185746</v>
      </c>
      <c r="CG5" s="9">
        <f>100%-Table1[[#This Row],[65 years and over - Penetration Rate]]</f>
        <v>0.81533477321814252</v>
      </c>
      <c r="CH5" s="6">
        <v>0</v>
      </c>
      <c r="CI5" s="6"/>
    </row>
    <row r="6" spans="1:87" x14ac:dyDescent="0.35">
      <c r="A6" t="s">
        <v>11</v>
      </c>
      <c r="B6">
        <v>5</v>
      </c>
      <c r="C6" s="5">
        <v>272</v>
      </c>
      <c r="D6" s="5">
        <v>122</v>
      </c>
      <c r="E6" s="5">
        <f>SUM(Table1[[#This Row],[Under 18 years - With one type of health insurance coverage]:[Under 18 years - With two or more types of health insurance coverage &amp; Other coverage combinations]])</f>
        <v>244</v>
      </c>
      <c r="F6" s="6">
        <v>97</v>
      </c>
      <c r="G6" s="6">
        <v>0</v>
      </c>
      <c r="H6" s="6">
        <v>0</v>
      </c>
      <c r="I6" s="6">
        <v>0</v>
      </c>
      <c r="J6" s="6">
        <v>97</v>
      </c>
      <c r="K6" s="6">
        <v>0</v>
      </c>
      <c r="L6" s="6">
        <v>0</v>
      </c>
      <c r="M6" s="6">
        <v>25</v>
      </c>
      <c r="N6" s="6">
        <v>0</v>
      </c>
      <c r="O6" s="6">
        <v>0</v>
      </c>
      <c r="P6" s="6">
        <v>0</v>
      </c>
      <c r="Q6" s="6">
        <v>0</v>
      </c>
      <c r="R6" s="6">
        <v>0</v>
      </c>
      <c r="S6" s="6">
        <v>25</v>
      </c>
      <c r="T6" s="9">
        <f>SUM(Table1[[#This Row],[Under 18 years - With one type of health insurance coverage]:[Under 18 years - With two or more types of health insurance coverage &amp; Other coverage combinations]])/Table1[[#This Row],[Total]]</f>
        <v>0.8970588235294118</v>
      </c>
      <c r="U6" s="9">
        <f>100%-Table1[[#This Row],[Under 18 years - Penetration Rate]]</f>
        <v>0.1029411764705882</v>
      </c>
      <c r="V6" s="6">
        <v>0</v>
      </c>
      <c r="W6" s="6">
        <v>104</v>
      </c>
      <c r="X6" s="6">
        <f>SUM(Table1[[#This Row],[18 to 34 years - With one type of health insurance coverage]:[18 to 34 years - With two or more types of health insurance coverage &amp; Other coverage combinations]])</f>
        <v>196</v>
      </c>
      <c r="Y6" s="9">
        <f>(Table1[[#This Row],[18 to 34 years]] - Table1[[#This Row],[18 to 34 years - No health insurance coverage]]) / Table1[[#This Row],[18 to 34 years]]</f>
        <v>0.94230769230769229</v>
      </c>
      <c r="Z6" s="9">
        <f>IFERROR(Table1[[#This Row],[Coverage Rate ( 18 to 34 years )]], 0)</f>
        <v>0.94230769230769229</v>
      </c>
      <c r="AA6" s="6">
        <v>98</v>
      </c>
      <c r="AB6" s="6">
        <v>12</v>
      </c>
      <c r="AC6" s="6">
        <v>0</v>
      </c>
      <c r="AD6" s="6">
        <v>0</v>
      </c>
      <c r="AE6" s="6">
        <v>86</v>
      </c>
      <c r="AF6" s="6">
        <v>0</v>
      </c>
      <c r="AG6" s="6">
        <v>0</v>
      </c>
      <c r="AH6" s="6">
        <v>0</v>
      </c>
      <c r="AI6" s="6">
        <v>0</v>
      </c>
      <c r="AJ6" s="6">
        <v>0</v>
      </c>
      <c r="AK6" s="6">
        <v>0</v>
      </c>
      <c r="AL6" s="6">
        <v>0</v>
      </c>
      <c r="AM6" s="6">
        <v>0</v>
      </c>
      <c r="AN6" s="6">
        <v>0</v>
      </c>
      <c r="AO6" s="9">
        <f>SUM(Table1[[#This Row],[18 to 34 years - With one type of health insurance coverage]:[18 to 34 years - With two or more types of health insurance coverage &amp; Other coverage combinations]])/Table1[[#This Row],[Total]]</f>
        <v>0.72058823529411764</v>
      </c>
      <c r="AP6" s="9">
        <f>100%-Table1[[#This Row],[18 to 34 years - Penetration rate]]</f>
        <v>0.27941176470588236</v>
      </c>
      <c r="AQ6" s="6">
        <v>6</v>
      </c>
      <c r="AR6" s="6">
        <v>36</v>
      </c>
      <c r="AS6" s="6">
        <f>SUM(Table1[[#This Row],[35 to 64 years - With one type of health insurance coverage]:[35 to 64 years - With two or more types of health insurance coverage &amp; Other coverage combinations]])</f>
        <v>24</v>
      </c>
      <c r="AT6" s="9">
        <f>(Table1[[#This Row],[35 to 64 years]]-Table1[[#This Row],[35 to 64 years - No health insurance coverage]])/Table1[[#This Row],[35 to 64 years]]</f>
        <v>0.33333333333333331</v>
      </c>
      <c r="AU6" s="9">
        <f>IFERROR(Table1[[#This Row],[Coverage Rate ( 35 to 64 years )]], 0)</f>
        <v>0.33333333333333331</v>
      </c>
      <c r="AV6" s="6">
        <v>12</v>
      </c>
      <c r="AW6" s="6">
        <v>0</v>
      </c>
      <c r="AX6" s="6">
        <v>0</v>
      </c>
      <c r="AY6" s="6">
        <v>0</v>
      </c>
      <c r="AZ6" s="6">
        <v>12</v>
      </c>
      <c r="BA6" s="6">
        <v>0</v>
      </c>
      <c r="BB6" s="6">
        <v>0</v>
      </c>
      <c r="BC6" s="6">
        <v>0</v>
      </c>
      <c r="BD6" s="6">
        <v>0</v>
      </c>
      <c r="BE6" s="6">
        <v>0</v>
      </c>
      <c r="BF6" s="6">
        <v>0</v>
      </c>
      <c r="BG6" s="6">
        <v>0</v>
      </c>
      <c r="BH6" s="6">
        <v>0</v>
      </c>
      <c r="BI6" s="6">
        <v>0</v>
      </c>
      <c r="BJ6" s="6">
        <v>0</v>
      </c>
      <c r="BK6" s="9">
        <f>SUM(Table1[[#This Row],[35 to 64 years - With one type of health insurance coverage]:[35 to 64 years - With two or more types of health insurance coverage &amp; Other coverage combinations]])/Table1[[#This Row],[Total]]</f>
        <v>8.8235294117647065E-2</v>
      </c>
      <c r="BL6" s="9">
        <f>100%-Table1[[#This Row],[35 to 64 years - Penetration Rate]]</f>
        <v>0.91176470588235292</v>
      </c>
      <c r="BM6" s="6">
        <v>24</v>
      </c>
      <c r="BN6" s="6">
        <v>10</v>
      </c>
      <c r="BO6" s="6">
        <f>SUM(Table1[[#This Row],[65 years and over - With one type of health insurance coverage]:[65 years and over - With two or more types of health insurance coverage &amp; Other coverage combinations]])</f>
        <v>20</v>
      </c>
      <c r="BP6" s="9">
        <f>(Table1[[#This Row],[65 years and over]]-Table1[[#This Row],[65 years and over - No health insurance coverage]])/Table1[[#This Row],[65 years and over]]</f>
        <v>1</v>
      </c>
      <c r="BQ6" s="9">
        <f>IFERROR(Table1[[#This Row],[Coverage Rate ( 65 years and over )]], 0)</f>
        <v>1</v>
      </c>
      <c r="BR6" s="6">
        <v>0</v>
      </c>
      <c r="BS6" s="6">
        <v>0</v>
      </c>
      <c r="BT6" s="6">
        <v>0</v>
      </c>
      <c r="BU6" s="6">
        <v>0</v>
      </c>
      <c r="BV6" s="6">
        <v>0</v>
      </c>
      <c r="BW6" s="6">
        <v>0</v>
      </c>
      <c r="BX6" s="6">
        <v>10</v>
      </c>
      <c r="BY6" s="6">
        <v>0</v>
      </c>
      <c r="BZ6" s="6">
        <v>0</v>
      </c>
      <c r="CA6" s="6">
        <v>5</v>
      </c>
      <c r="CB6" s="6">
        <v>0</v>
      </c>
      <c r="CC6" s="6">
        <v>0</v>
      </c>
      <c r="CD6" s="6">
        <v>0</v>
      </c>
      <c r="CE6" s="6">
        <v>5</v>
      </c>
      <c r="CF6" s="9">
        <f>SUM(Table1[[#This Row],[65 years and over - With one type of health insurance coverage]:[65 years and over - With two or more types of health insurance coverage &amp; Other coverage combinations]])/Table1[[#This Row],[Total]]</f>
        <v>7.3529411764705885E-2</v>
      </c>
      <c r="CG6" s="9">
        <f>100%-Table1[[#This Row],[65 years and over - Penetration Rate]]</f>
        <v>0.92647058823529416</v>
      </c>
      <c r="CH6" s="6">
        <v>0</v>
      </c>
      <c r="CI6" s="6"/>
    </row>
    <row r="7" spans="1:87" x14ac:dyDescent="0.35">
      <c r="A7" t="s">
        <v>12</v>
      </c>
      <c r="B7">
        <v>6</v>
      </c>
      <c r="C7" s="5">
        <v>3697</v>
      </c>
      <c r="D7" s="5">
        <v>341</v>
      </c>
      <c r="E7" s="5">
        <f>SUM(Table1[[#This Row],[Under 18 years - With one type of health insurance coverage]:[Under 18 years - With two or more types of health insurance coverage &amp; Other coverage combinations]])</f>
        <v>682</v>
      </c>
      <c r="F7" s="6">
        <v>287</v>
      </c>
      <c r="G7" s="6">
        <v>237</v>
      </c>
      <c r="H7" s="6">
        <v>15</v>
      </c>
      <c r="I7" s="6">
        <v>0</v>
      </c>
      <c r="J7" s="6">
        <v>35</v>
      </c>
      <c r="K7" s="6">
        <v>0</v>
      </c>
      <c r="L7" s="6">
        <v>0</v>
      </c>
      <c r="M7" s="6">
        <v>54</v>
      </c>
      <c r="N7" s="6">
        <v>54</v>
      </c>
      <c r="O7" s="6">
        <v>0</v>
      </c>
      <c r="P7" s="6">
        <v>0</v>
      </c>
      <c r="Q7" s="6">
        <v>0</v>
      </c>
      <c r="R7" s="6">
        <v>0</v>
      </c>
      <c r="S7" s="6">
        <v>0</v>
      </c>
      <c r="T7" s="9">
        <f>SUM(Table1[[#This Row],[Under 18 years - With one type of health insurance coverage]:[Under 18 years - With two or more types of health insurance coverage &amp; Other coverage combinations]])/Table1[[#This Row],[Total]]</f>
        <v>0.18447389775493644</v>
      </c>
      <c r="U7" s="9">
        <f>100%-Table1[[#This Row],[Under 18 years - Penetration Rate]]</f>
        <v>0.8155261022450635</v>
      </c>
      <c r="V7" s="6">
        <v>0</v>
      </c>
      <c r="W7" s="6">
        <v>1255</v>
      </c>
      <c r="X7" s="6">
        <f>SUM(Table1[[#This Row],[18 to 34 years - With one type of health insurance coverage]:[18 to 34 years - With two or more types of health insurance coverage &amp; Other coverage combinations]])</f>
        <v>2254</v>
      </c>
      <c r="Y7" s="9">
        <f>(Table1[[#This Row],[18 to 34 years]] - Table1[[#This Row],[18 to 34 years - No health insurance coverage]]) / Table1[[#This Row],[18 to 34 years]]</f>
        <v>0.89800796812749006</v>
      </c>
      <c r="Z7" s="9">
        <f>IFERROR(Table1[[#This Row],[Coverage Rate ( 18 to 34 years )]], 0)</f>
        <v>0.89800796812749006</v>
      </c>
      <c r="AA7" s="6">
        <v>1092</v>
      </c>
      <c r="AB7" s="6">
        <v>996</v>
      </c>
      <c r="AC7" s="6">
        <v>68</v>
      </c>
      <c r="AD7" s="6">
        <v>0</v>
      </c>
      <c r="AE7" s="6">
        <v>28</v>
      </c>
      <c r="AF7" s="6">
        <v>0</v>
      </c>
      <c r="AG7" s="6">
        <v>0</v>
      </c>
      <c r="AH7" s="6">
        <v>35</v>
      </c>
      <c r="AI7" s="6">
        <v>35</v>
      </c>
      <c r="AJ7" s="6">
        <v>0</v>
      </c>
      <c r="AK7" s="6">
        <v>0</v>
      </c>
      <c r="AL7" s="6">
        <v>0</v>
      </c>
      <c r="AM7" s="6">
        <v>0</v>
      </c>
      <c r="AN7" s="6">
        <v>0</v>
      </c>
      <c r="AO7" s="9">
        <f>SUM(Table1[[#This Row],[18 to 34 years - With one type of health insurance coverage]:[18 to 34 years - With two or more types of health insurance coverage &amp; Other coverage combinations]])/Table1[[#This Row],[Total]]</f>
        <v>0.60968352718420338</v>
      </c>
      <c r="AP7" s="9">
        <f>100%-Table1[[#This Row],[18 to 34 years - Penetration rate]]</f>
        <v>0.39031647281579662</v>
      </c>
      <c r="AQ7" s="6">
        <v>128</v>
      </c>
      <c r="AR7" s="6">
        <v>1471</v>
      </c>
      <c r="AS7" s="6">
        <f>SUM(Table1[[#This Row],[35 to 64 years - With one type of health insurance coverage]:[35 to 64 years - With two or more types of health insurance coverage &amp; Other coverage combinations]])</f>
        <v>2802</v>
      </c>
      <c r="AT7" s="9">
        <f>(Table1[[#This Row],[35 to 64 years]]-Table1[[#This Row],[35 to 64 years - No health insurance coverage]])/Table1[[#This Row],[35 to 64 years]]</f>
        <v>0.95241332426920466</v>
      </c>
      <c r="AU7" s="9">
        <f>IFERROR(Table1[[#This Row],[Coverage Rate ( 35 to 64 years )]], 0)</f>
        <v>0.95241332426920466</v>
      </c>
      <c r="AV7" s="6">
        <v>1317</v>
      </c>
      <c r="AW7" s="6">
        <v>1197</v>
      </c>
      <c r="AX7" s="6">
        <v>55</v>
      </c>
      <c r="AY7" s="6">
        <v>42</v>
      </c>
      <c r="AZ7" s="6">
        <v>16</v>
      </c>
      <c r="BA7" s="6">
        <v>7</v>
      </c>
      <c r="BB7" s="6">
        <v>0</v>
      </c>
      <c r="BC7" s="6">
        <v>84</v>
      </c>
      <c r="BD7" s="6">
        <v>15</v>
      </c>
      <c r="BE7" s="6">
        <v>0</v>
      </c>
      <c r="BF7" s="6">
        <v>18</v>
      </c>
      <c r="BG7" s="6">
        <v>15</v>
      </c>
      <c r="BH7" s="6">
        <v>0</v>
      </c>
      <c r="BI7" s="6">
        <v>0</v>
      </c>
      <c r="BJ7" s="6">
        <v>36</v>
      </c>
      <c r="BK7" s="9">
        <f>SUM(Table1[[#This Row],[35 to 64 years - With one type of health insurance coverage]:[35 to 64 years - With two or more types of health insurance coverage &amp; Other coverage combinations]])/Table1[[#This Row],[Total]]</f>
        <v>0.75791182039491478</v>
      </c>
      <c r="BL7" s="9">
        <f>100%-Table1[[#This Row],[35 to 64 years - Penetration Rate]]</f>
        <v>0.24208817960508522</v>
      </c>
      <c r="BM7" s="6">
        <v>70</v>
      </c>
      <c r="BN7" s="6">
        <v>630</v>
      </c>
      <c r="BO7" s="6">
        <f>SUM(Table1[[#This Row],[65 years and over - With one type of health insurance coverage]:[65 years and over - With two or more types of health insurance coverage &amp; Other coverage combinations]])</f>
        <v>1260</v>
      </c>
      <c r="BP7" s="9">
        <f>(Table1[[#This Row],[65 years and over]]-Table1[[#This Row],[65 years and over - No health insurance coverage]])/Table1[[#This Row],[65 years and over]]</f>
        <v>1</v>
      </c>
      <c r="BQ7" s="9">
        <f>IFERROR(Table1[[#This Row],[Coverage Rate ( 65 years and over )]], 0)</f>
        <v>1</v>
      </c>
      <c r="BR7" s="6">
        <v>204</v>
      </c>
      <c r="BS7" s="6">
        <v>0</v>
      </c>
      <c r="BT7" s="6">
        <v>0</v>
      </c>
      <c r="BU7" s="6">
        <v>204</v>
      </c>
      <c r="BV7" s="6">
        <v>0</v>
      </c>
      <c r="BW7" s="6">
        <v>0</v>
      </c>
      <c r="BX7" s="6">
        <v>426</v>
      </c>
      <c r="BY7" s="6">
        <v>0</v>
      </c>
      <c r="BZ7" s="6">
        <v>184</v>
      </c>
      <c r="CA7" s="6">
        <v>193</v>
      </c>
      <c r="CB7" s="6">
        <v>0</v>
      </c>
      <c r="CC7" s="6">
        <v>0</v>
      </c>
      <c r="CD7" s="6">
        <v>11</v>
      </c>
      <c r="CE7" s="6">
        <v>38</v>
      </c>
      <c r="CF7" s="9">
        <f>SUM(Table1[[#This Row],[65 years and over - With one type of health insurance coverage]:[65 years and over - With two or more types of health insurance coverage &amp; Other coverage combinations]])/Table1[[#This Row],[Total]]</f>
        <v>0.34081687855017584</v>
      </c>
      <c r="CG7" s="9">
        <f>100%-Table1[[#This Row],[65 years and over - Penetration Rate]]</f>
        <v>0.65918312144982416</v>
      </c>
      <c r="CH7" s="6">
        <v>0</v>
      </c>
      <c r="CI7" s="6"/>
    </row>
    <row r="8" spans="1:87" x14ac:dyDescent="0.35">
      <c r="A8" t="s">
        <v>13</v>
      </c>
      <c r="B8">
        <v>7</v>
      </c>
      <c r="C8" s="5">
        <v>1349</v>
      </c>
      <c r="D8" s="5">
        <v>477</v>
      </c>
      <c r="E8" s="5">
        <f>SUM(Table1[[#This Row],[Under 18 years - With one type of health insurance coverage]:[Under 18 years - With two or more types of health insurance coverage &amp; Other coverage combinations]])</f>
        <v>942</v>
      </c>
      <c r="F8" s="6">
        <v>407</v>
      </c>
      <c r="G8" s="6">
        <v>11</v>
      </c>
      <c r="H8" s="6">
        <v>17</v>
      </c>
      <c r="I8" s="6">
        <v>0</v>
      </c>
      <c r="J8" s="6">
        <v>379</v>
      </c>
      <c r="K8" s="6">
        <v>0</v>
      </c>
      <c r="L8" s="6">
        <v>0</v>
      </c>
      <c r="M8" s="6">
        <v>64</v>
      </c>
      <c r="N8" s="6">
        <v>0</v>
      </c>
      <c r="O8" s="6">
        <v>0</v>
      </c>
      <c r="P8" s="6">
        <v>22</v>
      </c>
      <c r="Q8" s="6">
        <v>0</v>
      </c>
      <c r="R8" s="6">
        <v>0</v>
      </c>
      <c r="S8" s="6">
        <v>42</v>
      </c>
      <c r="T8" s="9">
        <f>SUM(Table1[[#This Row],[Under 18 years - With one type of health insurance coverage]:[Under 18 years - With two or more types of health insurance coverage &amp; Other coverage combinations]])/Table1[[#This Row],[Total]]</f>
        <v>0.69829503335804299</v>
      </c>
      <c r="U8" s="9">
        <f>100%-Table1[[#This Row],[Under 18 years - Penetration Rate]]</f>
        <v>0.30170496664195701</v>
      </c>
      <c r="V8" s="6">
        <v>6</v>
      </c>
      <c r="W8" s="6">
        <v>364</v>
      </c>
      <c r="X8" s="6">
        <f>SUM(Table1[[#This Row],[18 to 34 years - With one type of health insurance coverage]:[18 to 34 years - With two or more types of health insurance coverage &amp; Other coverage combinations]])</f>
        <v>668</v>
      </c>
      <c r="Y8" s="9">
        <f>(Table1[[#This Row],[18 to 34 years]] - Table1[[#This Row],[18 to 34 years - No health insurance coverage]]) / Table1[[#This Row],[18 to 34 years]]</f>
        <v>0.91758241758241754</v>
      </c>
      <c r="Z8" s="9">
        <f>IFERROR(Table1[[#This Row],[Coverage Rate ( 18 to 34 years )]], 0)</f>
        <v>0.91758241758241754</v>
      </c>
      <c r="AA8" s="6">
        <v>268</v>
      </c>
      <c r="AB8" s="6">
        <v>38</v>
      </c>
      <c r="AC8" s="6">
        <v>30</v>
      </c>
      <c r="AD8" s="6">
        <v>0</v>
      </c>
      <c r="AE8" s="6">
        <v>200</v>
      </c>
      <c r="AF8" s="6">
        <v>0</v>
      </c>
      <c r="AG8" s="6">
        <v>0</v>
      </c>
      <c r="AH8" s="6">
        <v>66</v>
      </c>
      <c r="AI8" s="6">
        <v>0</v>
      </c>
      <c r="AJ8" s="6">
        <v>0</v>
      </c>
      <c r="AK8" s="6">
        <v>18</v>
      </c>
      <c r="AL8" s="6">
        <v>0</v>
      </c>
      <c r="AM8" s="6">
        <v>0</v>
      </c>
      <c r="AN8" s="6">
        <v>48</v>
      </c>
      <c r="AO8" s="9">
        <f>SUM(Table1[[#This Row],[18 to 34 years - With one type of health insurance coverage]:[18 to 34 years - With two or more types of health insurance coverage &amp; Other coverage combinations]])/Table1[[#This Row],[Total]]</f>
        <v>0.49518161601186061</v>
      </c>
      <c r="AP8" s="9">
        <f>100%-Table1[[#This Row],[18 to 34 years - Penetration rate]]</f>
        <v>0.50481838398813939</v>
      </c>
      <c r="AQ8" s="6">
        <v>30</v>
      </c>
      <c r="AR8" s="6">
        <v>345</v>
      </c>
      <c r="AS8" s="6">
        <f>SUM(Table1[[#This Row],[35 to 64 years - With one type of health insurance coverage]:[35 to 64 years - With two or more types of health insurance coverage &amp; Other coverage combinations]])</f>
        <v>556</v>
      </c>
      <c r="AT8" s="9">
        <f>(Table1[[#This Row],[35 to 64 years]]-Table1[[#This Row],[35 to 64 years - No health insurance coverage]])/Table1[[#This Row],[35 to 64 years]]</f>
        <v>0.80579710144927541</v>
      </c>
      <c r="AU8" s="9">
        <f>IFERROR(Table1[[#This Row],[Coverage Rate ( 35 to 64 years )]], 0)</f>
        <v>0.80579710144927541</v>
      </c>
      <c r="AV8" s="6">
        <v>200</v>
      </c>
      <c r="AW8" s="6">
        <v>67</v>
      </c>
      <c r="AX8" s="6">
        <v>0</v>
      </c>
      <c r="AY8" s="6">
        <v>0</v>
      </c>
      <c r="AZ8" s="6">
        <v>133</v>
      </c>
      <c r="BA8" s="6">
        <v>0</v>
      </c>
      <c r="BB8" s="6">
        <v>0</v>
      </c>
      <c r="BC8" s="6">
        <v>78</v>
      </c>
      <c r="BD8" s="6">
        <v>0</v>
      </c>
      <c r="BE8" s="6">
        <v>8</v>
      </c>
      <c r="BF8" s="6">
        <v>0</v>
      </c>
      <c r="BG8" s="6">
        <v>50</v>
      </c>
      <c r="BH8" s="6">
        <v>8</v>
      </c>
      <c r="BI8" s="6">
        <v>0</v>
      </c>
      <c r="BJ8" s="6">
        <v>12</v>
      </c>
      <c r="BK8" s="9">
        <f>SUM(Table1[[#This Row],[35 to 64 years - With one type of health insurance coverage]:[35 to 64 years - With two or more types of health insurance coverage &amp; Other coverage combinations]])/Table1[[#This Row],[Total]]</f>
        <v>0.41215715344699777</v>
      </c>
      <c r="BL8" s="9">
        <f>100%-Table1[[#This Row],[35 to 64 years - Penetration Rate]]</f>
        <v>0.58784284655300223</v>
      </c>
      <c r="BM8" s="6">
        <v>67</v>
      </c>
      <c r="BN8" s="6">
        <v>163</v>
      </c>
      <c r="BO8" s="6">
        <f>SUM(Table1[[#This Row],[65 years and over - With one type of health insurance coverage]:[65 years and over - With two or more types of health insurance coverage &amp; Other coverage combinations]])</f>
        <v>326</v>
      </c>
      <c r="BP8" s="9">
        <f>(Table1[[#This Row],[65 years and over]]-Table1[[#This Row],[65 years and over - No health insurance coverage]])/Table1[[#This Row],[65 years and over]]</f>
        <v>1</v>
      </c>
      <c r="BQ8" s="9">
        <f>IFERROR(Table1[[#This Row],[Coverage Rate ( 65 years and over )]], 0)</f>
        <v>1</v>
      </c>
      <c r="BR8" s="6">
        <v>43</v>
      </c>
      <c r="BS8" s="6">
        <v>9</v>
      </c>
      <c r="BT8" s="6">
        <v>0</v>
      </c>
      <c r="BU8" s="6">
        <v>34</v>
      </c>
      <c r="BV8" s="6">
        <v>0</v>
      </c>
      <c r="BW8" s="6">
        <v>0</v>
      </c>
      <c r="BX8" s="6">
        <v>120</v>
      </c>
      <c r="BY8" s="6">
        <v>0</v>
      </c>
      <c r="BZ8" s="6">
        <v>0</v>
      </c>
      <c r="CA8" s="6">
        <v>15</v>
      </c>
      <c r="CB8" s="6">
        <v>86</v>
      </c>
      <c r="CC8" s="6">
        <v>0</v>
      </c>
      <c r="CD8" s="6">
        <v>0</v>
      </c>
      <c r="CE8" s="6">
        <v>19</v>
      </c>
      <c r="CF8" s="9">
        <f>SUM(Table1[[#This Row],[65 years and over - With one type of health insurance coverage]:[65 years and over - With two or more types of health insurance coverage &amp; Other coverage combinations]])/Table1[[#This Row],[Total]]</f>
        <v>0.24166048925129727</v>
      </c>
      <c r="CG8" s="9">
        <f>100%-Table1[[#This Row],[65 years and over - Penetration Rate]]</f>
        <v>0.75833951074870276</v>
      </c>
      <c r="CH8" s="6">
        <v>0</v>
      </c>
      <c r="CI8" s="6"/>
    </row>
    <row r="9" spans="1:87" x14ac:dyDescent="0.35">
      <c r="A9" t="s">
        <v>14</v>
      </c>
      <c r="B9">
        <v>8</v>
      </c>
      <c r="C9" s="5">
        <v>7996</v>
      </c>
      <c r="D9" s="5">
        <v>1399</v>
      </c>
      <c r="E9" s="5">
        <f>SUM(Table1[[#This Row],[Under 18 years - With one type of health insurance coverage]:[Under 18 years - With two or more types of health insurance coverage &amp; Other coverage combinations]])</f>
        <v>2658</v>
      </c>
      <c r="F9" s="6">
        <v>1096</v>
      </c>
      <c r="G9" s="6">
        <v>655</v>
      </c>
      <c r="H9" s="6">
        <v>12</v>
      </c>
      <c r="I9" s="6">
        <v>0</v>
      </c>
      <c r="J9" s="6">
        <v>429</v>
      </c>
      <c r="K9" s="6">
        <v>0</v>
      </c>
      <c r="L9" s="6">
        <v>0</v>
      </c>
      <c r="M9" s="6">
        <v>233</v>
      </c>
      <c r="N9" s="6">
        <v>12</v>
      </c>
      <c r="O9" s="6">
        <v>0</v>
      </c>
      <c r="P9" s="6">
        <v>0</v>
      </c>
      <c r="Q9" s="6">
        <v>0</v>
      </c>
      <c r="R9" s="6">
        <v>0</v>
      </c>
      <c r="S9" s="6">
        <v>221</v>
      </c>
      <c r="T9" s="9">
        <f>SUM(Table1[[#This Row],[Under 18 years - With one type of health insurance coverage]:[Under 18 years - With two or more types of health insurance coverage &amp; Other coverage combinations]])/Table1[[#This Row],[Total]]</f>
        <v>0.33241620810405204</v>
      </c>
      <c r="U9" s="9">
        <f>100%-Table1[[#This Row],[Under 18 years - Penetration Rate]]</f>
        <v>0.66758379189594796</v>
      </c>
      <c r="V9" s="6">
        <v>70</v>
      </c>
      <c r="W9" s="6">
        <v>2265</v>
      </c>
      <c r="X9" s="6">
        <f>SUM(Table1[[#This Row],[18 to 34 years - With one type of health insurance coverage]:[18 to 34 years - With two or more types of health insurance coverage &amp; Other coverage combinations]])</f>
        <v>3576</v>
      </c>
      <c r="Y9" s="9">
        <f>(Table1[[#This Row],[18 to 34 years]] - Table1[[#This Row],[18 to 34 years - No health insurance coverage]]) / Table1[[#This Row],[18 to 34 years]]</f>
        <v>0.78940397350993374</v>
      </c>
      <c r="Z9" s="9">
        <f>IFERROR(Table1[[#This Row],[Coverage Rate ( 18 to 34 years )]], 0)</f>
        <v>0.78940397350993374</v>
      </c>
      <c r="AA9" s="6">
        <v>1717</v>
      </c>
      <c r="AB9" s="6">
        <v>1337</v>
      </c>
      <c r="AC9" s="6">
        <v>153</v>
      </c>
      <c r="AD9" s="6">
        <v>0</v>
      </c>
      <c r="AE9" s="6">
        <v>216</v>
      </c>
      <c r="AF9" s="6">
        <v>0</v>
      </c>
      <c r="AG9" s="6">
        <v>11</v>
      </c>
      <c r="AH9" s="6">
        <v>71</v>
      </c>
      <c r="AI9" s="6">
        <v>11</v>
      </c>
      <c r="AJ9" s="6">
        <v>0</v>
      </c>
      <c r="AK9" s="6">
        <v>2</v>
      </c>
      <c r="AL9" s="6">
        <v>0</v>
      </c>
      <c r="AM9" s="6">
        <v>0</v>
      </c>
      <c r="AN9" s="6">
        <v>58</v>
      </c>
      <c r="AO9" s="9">
        <f>SUM(Table1[[#This Row],[18 to 34 years - With one type of health insurance coverage]:[18 to 34 years - With two or more types of health insurance coverage &amp; Other coverage combinations]])/Table1[[#This Row],[Total]]</f>
        <v>0.44722361180590298</v>
      </c>
      <c r="AP9" s="9">
        <f>100%-Table1[[#This Row],[18 to 34 years - Penetration rate]]</f>
        <v>0.55277638819409702</v>
      </c>
      <c r="AQ9" s="6">
        <v>477</v>
      </c>
      <c r="AR9" s="6">
        <v>3156</v>
      </c>
      <c r="AS9" s="6">
        <f>SUM(Table1[[#This Row],[35 to 64 years - With one type of health insurance coverage]:[35 to 64 years - With two or more types of health insurance coverage &amp; Other coverage combinations]])</f>
        <v>5638</v>
      </c>
      <c r="AT9" s="9">
        <f>(Table1[[#This Row],[35 to 64 years]]-Table1[[#This Row],[35 to 64 years - No health insurance coverage]])/Table1[[#This Row],[35 to 64 years]]</f>
        <v>0.89321926489226866</v>
      </c>
      <c r="AU9" s="9">
        <f>IFERROR(Table1[[#This Row],[Coverage Rate ( 35 to 64 years )]], 0)</f>
        <v>0.89321926489226866</v>
      </c>
      <c r="AV9" s="6">
        <v>2524</v>
      </c>
      <c r="AW9" s="6">
        <v>1961</v>
      </c>
      <c r="AX9" s="6">
        <v>120</v>
      </c>
      <c r="AY9" s="6">
        <v>56</v>
      </c>
      <c r="AZ9" s="6">
        <v>360</v>
      </c>
      <c r="BA9" s="6">
        <v>27</v>
      </c>
      <c r="BB9" s="6">
        <v>0</v>
      </c>
      <c r="BC9" s="6">
        <v>295</v>
      </c>
      <c r="BD9" s="6">
        <v>48</v>
      </c>
      <c r="BE9" s="6">
        <v>0</v>
      </c>
      <c r="BF9" s="6">
        <v>1</v>
      </c>
      <c r="BG9" s="6">
        <v>87</v>
      </c>
      <c r="BH9" s="6">
        <v>17</v>
      </c>
      <c r="BI9" s="6">
        <v>27</v>
      </c>
      <c r="BJ9" s="6">
        <v>115</v>
      </c>
      <c r="BK9" s="9">
        <f>SUM(Table1[[#This Row],[35 to 64 years - With one type of health insurance coverage]:[35 to 64 years - With two or more types of health insurance coverage &amp; Other coverage combinations]])/Table1[[#This Row],[Total]]</f>
        <v>0.70510255127563781</v>
      </c>
      <c r="BL9" s="9">
        <f>100%-Table1[[#This Row],[35 to 64 years - Penetration Rate]]</f>
        <v>0.29489744872436219</v>
      </c>
      <c r="BM9" s="6">
        <v>337</v>
      </c>
      <c r="BN9" s="6">
        <v>1176</v>
      </c>
      <c r="BO9" s="6">
        <f>SUM(Table1[[#This Row],[65 years and over - With one type of health insurance coverage]:[65 years and over - With two or more types of health insurance coverage &amp; Other coverage combinations]])</f>
        <v>2352</v>
      </c>
      <c r="BP9" s="9">
        <f>(Table1[[#This Row],[65 years and over]]-Table1[[#This Row],[65 years and over - No health insurance coverage]])/Table1[[#This Row],[65 years and over]]</f>
        <v>1</v>
      </c>
      <c r="BQ9" s="9">
        <f>IFERROR(Table1[[#This Row],[Coverage Rate ( 65 years and over )]], 0)</f>
        <v>1</v>
      </c>
      <c r="BR9" s="6">
        <v>296</v>
      </c>
      <c r="BS9" s="6">
        <v>38</v>
      </c>
      <c r="BT9" s="6">
        <v>0</v>
      </c>
      <c r="BU9" s="6">
        <v>258</v>
      </c>
      <c r="BV9" s="6">
        <v>0</v>
      </c>
      <c r="BW9" s="6">
        <v>0</v>
      </c>
      <c r="BX9" s="6">
        <v>880</v>
      </c>
      <c r="BY9" s="6">
        <v>0</v>
      </c>
      <c r="BZ9" s="6">
        <v>267</v>
      </c>
      <c r="CA9" s="6">
        <v>266</v>
      </c>
      <c r="CB9" s="6">
        <v>147</v>
      </c>
      <c r="CC9" s="6">
        <v>0</v>
      </c>
      <c r="CD9" s="6">
        <v>0</v>
      </c>
      <c r="CE9" s="6">
        <v>200</v>
      </c>
      <c r="CF9" s="9">
        <f>SUM(Table1[[#This Row],[65 years and over - With one type of health insurance coverage]:[65 years and over - With two or more types of health insurance coverage &amp; Other coverage combinations]])/Table1[[#This Row],[Total]]</f>
        <v>0.29414707353676839</v>
      </c>
      <c r="CG9" s="9">
        <f>100%-Table1[[#This Row],[65 years and over - Penetration Rate]]</f>
        <v>0.70585292646323161</v>
      </c>
      <c r="CH9" s="6">
        <v>0</v>
      </c>
      <c r="CI9" s="6"/>
    </row>
    <row r="10" spans="1:87" x14ac:dyDescent="0.35">
      <c r="A10" t="s">
        <v>15</v>
      </c>
      <c r="B10">
        <v>9</v>
      </c>
      <c r="C10" s="5">
        <v>1702</v>
      </c>
      <c r="D10" s="5">
        <v>331</v>
      </c>
      <c r="E10" s="5">
        <f>SUM(Table1[[#This Row],[Under 18 years - With one type of health insurance coverage]:[Under 18 years - With two or more types of health insurance coverage &amp; Other coverage combinations]])</f>
        <v>520</v>
      </c>
      <c r="F10" s="6">
        <v>246</v>
      </c>
      <c r="G10" s="6">
        <v>122</v>
      </c>
      <c r="H10" s="6">
        <v>6</v>
      </c>
      <c r="I10" s="6">
        <v>0</v>
      </c>
      <c r="J10" s="6">
        <v>118</v>
      </c>
      <c r="K10" s="6">
        <v>0</v>
      </c>
      <c r="L10" s="6">
        <v>0</v>
      </c>
      <c r="M10" s="6">
        <v>14</v>
      </c>
      <c r="N10" s="6">
        <v>0</v>
      </c>
      <c r="O10" s="6">
        <v>5</v>
      </c>
      <c r="P10" s="6">
        <v>0</v>
      </c>
      <c r="Q10" s="6">
        <v>0</v>
      </c>
      <c r="R10" s="6">
        <v>0</v>
      </c>
      <c r="S10" s="6">
        <v>9</v>
      </c>
      <c r="T10" s="9">
        <f>SUM(Table1[[#This Row],[Under 18 years - With one type of health insurance coverage]:[Under 18 years - With two or more types of health insurance coverage &amp; Other coverage combinations]])/Table1[[#This Row],[Total]]</f>
        <v>0.30552291421856637</v>
      </c>
      <c r="U10" s="9">
        <f>100%-Table1[[#This Row],[Under 18 years - Penetration Rate]]</f>
        <v>0.69447708578143363</v>
      </c>
      <c r="V10" s="6">
        <v>71</v>
      </c>
      <c r="W10" s="6">
        <v>369</v>
      </c>
      <c r="X10" s="6">
        <f>SUM(Table1[[#This Row],[18 to 34 years - With one type of health insurance coverage]:[18 to 34 years - With two or more types of health insurance coverage &amp; Other coverage combinations]])</f>
        <v>462</v>
      </c>
      <c r="Y10" s="9">
        <f>(Table1[[#This Row],[18 to 34 years]] - Table1[[#This Row],[18 to 34 years - No health insurance coverage]]) / Table1[[#This Row],[18 to 34 years]]</f>
        <v>0.62601626016260159</v>
      </c>
      <c r="Z10" s="9">
        <f>IFERROR(Table1[[#This Row],[Coverage Rate ( 18 to 34 years )]], 0)</f>
        <v>0.62601626016260159</v>
      </c>
      <c r="AA10" s="6">
        <v>218</v>
      </c>
      <c r="AB10" s="6">
        <v>139</v>
      </c>
      <c r="AC10" s="6">
        <v>9</v>
      </c>
      <c r="AD10" s="6">
        <v>0</v>
      </c>
      <c r="AE10" s="6">
        <v>70</v>
      </c>
      <c r="AF10" s="6">
        <v>0</v>
      </c>
      <c r="AG10" s="6">
        <v>0</v>
      </c>
      <c r="AH10" s="6">
        <v>13</v>
      </c>
      <c r="AI10" s="6">
        <v>13</v>
      </c>
      <c r="AJ10" s="6">
        <v>0</v>
      </c>
      <c r="AK10" s="6">
        <v>0</v>
      </c>
      <c r="AL10" s="6">
        <v>0</v>
      </c>
      <c r="AM10" s="6">
        <v>0</v>
      </c>
      <c r="AN10" s="6">
        <v>0</v>
      </c>
      <c r="AO10" s="9">
        <f>SUM(Table1[[#This Row],[18 to 34 years - With one type of health insurance coverage]:[18 to 34 years - With two or more types of health insurance coverage &amp; Other coverage combinations]])/Table1[[#This Row],[Total]]</f>
        <v>0.27144535840188017</v>
      </c>
      <c r="AP10" s="9">
        <f>100%-Table1[[#This Row],[18 to 34 years - Penetration rate]]</f>
        <v>0.72855464159811989</v>
      </c>
      <c r="AQ10" s="6">
        <v>138</v>
      </c>
      <c r="AR10" s="6">
        <v>718</v>
      </c>
      <c r="AS10" s="6">
        <f>SUM(Table1[[#This Row],[35 to 64 years - With one type of health insurance coverage]:[35 to 64 years - With two or more types of health insurance coverage &amp; Other coverage combinations]])</f>
        <v>1278</v>
      </c>
      <c r="AT10" s="9">
        <f>(Table1[[#This Row],[35 to 64 years]]-Table1[[#This Row],[35 to 64 years - No health insurance coverage]])/Table1[[#This Row],[35 to 64 years]]</f>
        <v>0.88997214484679665</v>
      </c>
      <c r="AU10" s="9">
        <f>IFERROR(Table1[[#This Row],[Coverage Rate ( 35 to 64 years )]], 0)</f>
        <v>0.88997214484679665</v>
      </c>
      <c r="AV10" s="6">
        <v>530</v>
      </c>
      <c r="AW10" s="6">
        <v>419</v>
      </c>
      <c r="AX10" s="6">
        <v>20</v>
      </c>
      <c r="AY10" s="6">
        <v>11</v>
      </c>
      <c r="AZ10" s="6">
        <v>80</v>
      </c>
      <c r="BA10" s="6">
        <v>0</v>
      </c>
      <c r="BB10" s="6">
        <v>0</v>
      </c>
      <c r="BC10" s="6">
        <v>109</v>
      </c>
      <c r="BD10" s="6">
        <v>22</v>
      </c>
      <c r="BE10" s="6">
        <v>7</v>
      </c>
      <c r="BF10" s="6">
        <v>0</v>
      </c>
      <c r="BG10" s="6">
        <v>45</v>
      </c>
      <c r="BH10" s="6">
        <v>0</v>
      </c>
      <c r="BI10" s="6">
        <v>0</v>
      </c>
      <c r="BJ10" s="6">
        <v>35</v>
      </c>
      <c r="BK10" s="9">
        <f>SUM(Table1[[#This Row],[35 to 64 years - With one type of health insurance coverage]:[35 to 64 years - With two or more types of health insurance coverage &amp; Other coverage combinations]])/Table1[[#This Row],[Total]]</f>
        <v>0.75088131609870745</v>
      </c>
      <c r="BL10" s="9">
        <f>100%-Table1[[#This Row],[35 to 64 years - Penetration Rate]]</f>
        <v>0.24911868390129255</v>
      </c>
      <c r="BM10" s="6">
        <v>79</v>
      </c>
      <c r="BN10" s="6">
        <v>284</v>
      </c>
      <c r="BO10" s="6">
        <f>SUM(Table1[[#This Row],[65 years and over - With one type of health insurance coverage]:[65 years and over - With two or more types of health insurance coverage &amp; Other coverage combinations]])</f>
        <v>568</v>
      </c>
      <c r="BP10" s="9">
        <f>(Table1[[#This Row],[65 years and over]]-Table1[[#This Row],[65 years and over - No health insurance coverage]])/Table1[[#This Row],[65 years and over]]</f>
        <v>1</v>
      </c>
      <c r="BQ10" s="9">
        <f>IFERROR(Table1[[#This Row],[Coverage Rate ( 65 years and over )]], 0)</f>
        <v>1</v>
      </c>
      <c r="BR10" s="6">
        <v>79</v>
      </c>
      <c r="BS10" s="6">
        <v>7</v>
      </c>
      <c r="BT10" s="6">
        <v>0</v>
      </c>
      <c r="BU10" s="6">
        <v>72</v>
      </c>
      <c r="BV10" s="6">
        <v>0</v>
      </c>
      <c r="BW10" s="6">
        <v>0</v>
      </c>
      <c r="BX10" s="6">
        <v>205</v>
      </c>
      <c r="BY10" s="6">
        <v>0</v>
      </c>
      <c r="BZ10" s="6">
        <v>23</v>
      </c>
      <c r="CA10" s="6">
        <v>38</v>
      </c>
      <c r="CB10" s="6">
        <v>34</v>
      </c>
      <c r="CC10" s="6">
        <v>0</v>
      </c>
      <c r="CD10" s="6">
        <v>19</v>
      </c>
      <c r="CE10" s="6">
        <v>91</v>
      </c>
      <c r="CF10" s="9">
        <f>SUM(Table1[[#This Row],[65 years and over - With one type of health insurance coverage]:[65 years and over - With two or more types of health insurance coverage &amp; Other coverage combinations]])/Table1[[#This Row],[Total]]</f>
        <v>0.33372502937720327</v>
      </c>
      <c r="CG10" s="9">
        <f>100%-Table1[[#This Row],[65 years and over - Penetration Rate]]</f>
        <v>0.66627497062279673</v>
      </c>
      <c r="CH10" s="6">
        <v>0</v>
      </c>
      <c r="CI10" s="6"/>
    </row>
    <row r="11" spans="1:87" x14ac:dyDescent="0.35">
      <c r="A11" t="s">
        <v>16</v>
      </c>
      <c r="B11">
        <v>10</v>
      </c>
      <c r="C11" s="5">
        <v>8667</v>
      </c>
      <c r="D11" s="5">
        <v>670</v>
      </c>
      <c r="E11" s="5">
        <f>SUM(Table1[[#This Row],[Under 18 years - With one type of health insurance coverage]:[Under 18 years - With two or more types of health insurance coverage &amp; Other coverage combinations]])</f>
        <v>1290</v>
      </c>
      <c r="F11" s="6">
        <v>618</v>
      </c>
      <c r="G11" s="6">
        <v>438</v>
      </c>
      <c r="H11" s="6">
        <v>29</v>
      </c>
      <c r="I11" s="6">
        <v>0</v>
      </c>
      <c r="J11" s="6">
        <v>149</v>
      </c>
      <c r="K11" s="6">
        <v>2</v>
      </c>
      <c r="L11" s="6">
        <v>0</v>
      </c>
      <c r="M11" s="6">
        <v>27</v>
      </c>
      <c r="N11" s="6">
        <v>0</v>
      </c>
      <c r="O11" s="6">
        <v>0</v>
      </c>
      <c r="P11" s="6">
        <v>0</v>
      </c>
      <c r="Q11" s="6">
        <v>0</v>
      </c>
      <c r="R11" s="6">
        <v>0</v>
      </c>
      <c r="S11" s="6">
        <v>27</v>
      </c>
      <c r="T11" s="9">
        <f>SUM(Table1[[#This Row],[Under 18 years - With one type of health insurance coverage]:[Under 18 years - With two or more types of health insurance coverage &amp; Other coverage combinations]])/Table1[[#This Row],[Total]]</f>
        <v>0.14884042921426099</v>
      </c>
      <c r="U11" s="9">
        <f>100%-Table1[[#This Row],[Under 18 years - Penetration Rate]]</f>
        <v>0.85115957078573901</v>
      </c>
      <c r="V11" s="6">
        <v>25</v>
      </c>
      <c r="W11" s="6">
        <v>4419</v>
      </c>
      <c r="X11" s="6">
        <f>SUM(Table1[[#This Row],[18 to 34 years - With one type of health insurance coverage]:[18 to 34 years - With two or more types of health insurance coverage &amp; Other coverage combinations]])</f>
        <v>7354</v>
      </c>
      <c r="Y11" s="9">
        <f>(Table1[[#This Row],[18 to 34 years]] - Table1[[#This Row],[18 to 34 years - No health insurance coverage]]) / Table1[[#This Row],[18 to 34 years]]</f>
        <v>0.83208870785245526</v>
      </c>
      <c r="Z11" s="9">
        <f>IFERROR(Table1[[#This Row],[Coverage Rate ( 18 to 34 years )]], 0)</f>
        <v>0.83208870785245526</v>
      </c>
      <c r="AA11" s="6">
        <v>3480</v>
      </c>
      <c r="AB11" s="6">
        <v>2853</v>
      </c>
      <c r="AC11" s="6">
        <v>442</v>
      </c>
      <c r="AD11" s="6">
        <v>0</v>
      </c>
      <c r="AE11" s="6">
        <v>138</v>
      </c>
      <c r="AF11" s="6">
        <v>47</v>
      </c>
      <c r="AG11" s="6">
        <v>0</v>
      </c>
      <c r="AH11" s="6">
        <v>197</v>
      </c>
      <c r="AI11" s="6">
        <v>121</v>
      </c>
      <c r="AJ11" s="6">
        <v>0</v>
      </c>
      <c r="AK11" s="6">
        <v>35</v>
      </c>
      <c r="AL11" s="6">
        <v>11</v>
      </c>
      <c r="AM11" s="6">
        <v>0</v>
      </c>
      <c r="AN11" s="6">
        <v>30</v>
      </c>
      <c r="AO11" s="9">
        <f>SUM(Table1[[#This Row],[18 to 34 years - With one type of health insurance coverage]:[18 to 34 years - With two or more types of health insurance coverage &amp; Other coverage combinations]])/Table1[[#This Row],[Total]]</f>
        <v>0.84850582669897312</v>
      </c>
      <c r="AP11" s="9">
        <f>100%-Table1[[#This Row],[18 to 34 years - Penetration rate]]</f>
        <v>0.15149417330102688</v>
      </c>
      <c r="AQ11" s="6">
        <v>742</v>
      </c>
      <c r="AR11" s="6">
        <v>2483</v>
      </c>
      <c r="AS11" s="6">
        <f>SUM(Table1[[#This Row],[35 to 64 years - With one type of health insurance coverage]:[35 to 64 years - With two or more types of health insurance coverage &amp; Other coverage combinations]])</f>
        <v>4440</v>
      </c>
      <c r="AT11" s="9">
        <f>(Table1[[#This Row],[35 to 64 years]]-Table1[[#This Row],[35 to 64 years - No health insurance coverage]])/Table1[[#This Row],[35 to 64 years]]</f>
        <v>0.89407974224728148</v>
      </c>
      <c r="AU11" s="9">
        <f>IFERROR(Table1[[#This Row],[Coverage Rate ( 35 to 64 years )]], 0)</f>
        <v>0.89407974224728148</v>
      </c>
      <c r="AV11" s="6">
        <v>1987</v>
      </c>
      <c r="AW11" s="6">
        <v>1456</v>
      </c>
      <c r="AX11" s="6">
        <v>247</v>
      </c>
      <c r="AY11" s="6">
        <v>59</v>
      </c>
      <c r="AZ11" s="6">
        <v>212</v>
      </c>
      <c r="BA11" s="6">
        <v>7</v>
      </c>
      <c r="BB11" s="6">
        <v>6</v>
      </c>
      <c r="BC11" s="6">
        <v>233</v>
      </c>
      <c r="BD11" s="6">
        <v>48</v>
      </c>
      <c r="BE11" s="6">
        <v>5</v>
      </c>
      <c r="BF11" s="6">
        <v>10</v>
      </c>
      <c r="BG11" s="6">
        <v>73</v>
      </c>
      <c r="BH11" s="6">
        <v>28</v>
      </c>
      <c r="BI11" s="6">
        <v>0</v>
      </c>
      <c r="BJ11" s="6">
        <v>69</v>
      </c>
      <c r="BK11" s="9">
        <f>SUM(Table1[[#This Row],[35 to 64 years - With one type of health insurance coverage]:[35 to 64 years - With two or more types of health insurance coverage &amp; Other coverage combinations]])/Table1[[#This Row],[Total]]</f>
        <v>0.51228798892350291</v>
      </c>
      <c r="BL11" s="9">
        <f>100%-Table1[[#This Row],[35 to 64 years - Penetration Rate]]</f>
        <v>0.48771201107649709</v>
      </c>
      <c r="BM11" s="6">
        <v>263</v>
      </c>
      <c r="BN11" s="6">
        <v>1095</v>
      </c>
      <c r="BO11" s="6">
        <f>SUM(Table1[[#This Row],[65 years and over - With one type of health insurance coverage]:[65 years and over - With two or more types of health insurance coverage &amp; Other coverage combinations]])</f>
        <v>2190</v>
      </c>
      <c r="BP11" s="9">
        <f>(Table1[[#This Row],[65 years and over]]-Table1[[#This Row],[65 years and over - No health insurance coverage]])/Table1[[#This Row],[65 years and over]]</f>
        <v>1</v>
      </c>
      <c r="BQ11" s="9">
        <f>IFERROR(Table1[[#This Row],[Coverage Rate ( 65 years and over )]], 0)</f>
        <v>1</v>
      </c>
      <c r="BR11" s="6">
        <v>264</v>
      </c>
      <c r="BS11" s="6">
        <v>22</v>
      </c>
      <c r="BT11" s="6">
        <v>0</v>
      </c>
      <c r="BU11" s="6">
        <v>237</v>
      </c>
      <c r="BV11" s="6">
        <v>0</v>
      </c>
      <c r="BW11" s="6">
        <v>5</v>
      </c>
      <c r="BX11" s="6">
        <v>831</v>
      </c>
      <c r="BY11" s="6">
        <v>0</v>
      </c>
      <c r="BZ11" s="6">
        <v>197</v>
      </c>
      <c r="CA11" s="6">
        <v>297</v>
      </c>
      <c r="CB11" s="6">
        <v>104</v>
      </c>
      <c r="CC11" s="6">
        <v>3</v>
      </c>
      <c r="CD11" s="6">
        <v>5</v>
      </c>
      <c r="CE11" s="6">
        <v>225</v>
      </c>
      <c r="CF11" s="9">
        <f>SUM(Table1[[#This Row],[65 years and over - With one type of health insurance coverage]:[65 years and over - With two or more types of health insurance coverage &amp; Other coverage combinations]])/Table1[[#This Row],[Total]]</f>
        <v>0.25268258913118724</v>
      </c>
      <c r="CG11" s="9">
        <f>100%-Table1[[#This Row],[65 years and over - Penetration Rate]]</f>
        <v>0.74731741086881276</v>
      </c>
      <c r="CH11" s="6">
        <v>0</v>
      </c>
      <c r="CI11" s="6"/>
    </row>
    <row r="12" spans="1:87" x14ac:dyDescent="0.35">
      <c r="A12" t="s">
        <v>17</v>
      </c>
      <c r="B12">
        <v>11</v>
      </c>
      <c r="C12" s="5">
        <v>3951</v>
      </c>
      <c r="D12" s="5">
        <v>71</v>
      </c>
      <c r="E12" s="5">
        <f>SUM(Table1[[#This Row],[Under 18 years - With one type of health insurance coverage]:[Under 18 years - With two or more types of health insurance coverage &amp; Other coverage combinations]])</f>
        <v>142</v>
      </c>
      <c r="F12" s="6">
        <v>66</v>
      </c>
      <c r="G12" s="6">
        <v>53</v>
      </c>
      <c r="H12" s="6">
        <v>13</v>
      </c>
      <c r="I12" s="6">
        <v>0</v>
      </c>
      <c r="J12" s="6">
        <v>0</v>
      </c>
      <c r="K12" s="6">
        <v>0</v>
      </c>
      <c r="L12" s="6">
        <v>0</v>
      </c>
      <c r="M12" s="6">
        <v>5</v>
      </c>
      <c r="N12" s="6">
        <v>0</v>
      </c>
      <c r="O12" s="6">
        <v>0</v>
      </c>
      <c r="P12" s="6">
        <v>0</v>
      </c>
      <c r="Q12" s="6">
        <v>0</v>
      </c>
      <c r="R12" s="6">
        <v>0</v>
      </c>
      <c r="S12" s="6">
        <v>5</v>
      </c>
      <c r="T12" s="9">
        <f>SUM(Table1[[#This Row],[Under 18 years - With one type of health insurance coverage]:[Under 18 years - With two or more types of health insurance coverage &amp; Other coverage combinations]])/Table1[[#This Row],[Total]]</f>
        <v>3.5940268286509744E-2</v>
      </c>
      <c r="U12" s="9">
        <f>100%-Table1[[#This Row],[Under 18 years - Penetration Rate]]</f>
        <v>0.96405973171349024</v>
      </c>
      <c r="V12" s="6">
        <v>0</v>
      </c>
      <c r="W12" s="6">
        <v>3543</v>
      </c>
      <c r="X12" s="6">
        <f>SUM(Table1[[#This Row],[18 to 34 years - With one type of health insurance coverage]:[18 to 34 years - With two or more types of health insurance coverage &amp; Other coverage combinations]])</f>
        <v>6910</v>
      </c>
      <c r="Y12" s="9">
        <f>(Table1[[#This Row],[18 to 34 years]] - Table1[[#This Row],[18 to 34 years - No health insurance coverage]]) / Table1[[#This Row],[18 to 34 years]]</f>
        <v>0.97516229184307079</v>
      </c>
      <c r="Z12" s="9">
        <f>IFERROR(Table1[[#This Row],[Coverage Rate ( 18 to 34 years )]], 0)</f>
        <v>0.97516229184307079</v>
      </c>
      <c r="AA12" s="6">
        <v>3361</v>
      </c>
      <c r="AB12" s="6">
        <v>2585</v>
      </c>
      <c r="AC12" s="6">
        <v>630</v>
      </c>
      <c r="AD12" s="6">
        <v>9</v>
      </c>
      <c r="AE12" s="6">
        <v>69</v>
      </c>
      <c r="AF12" s="6">
        <v>62</v>
      </c>
      <c r="AG12" s="6">
        <v>6</v>
      </c>
      <c r="AH12" s="6">
        <v>94</v>
      </c>
      <c r="AI12" s="6">
        <v>36</v>
      </c>
      <c r="AJ12" s="6">
        <v>0</v>
      </c>
      <c r="AK12" s="6">
        <v>0</v>
      </c>
      <c r="AL12" s="6">
        <v>44</v>
      </c>
      <c r="AM12" s="6">
        <v>0</v>
      </c>
      <c r="AN12" s="6">
        <v>14</v>
      </c>
      <c r="AO12" s="9">
        <f>SUM(Table1[[#This Row],[18 to 34 years - With one type of health insurance coverage]:[18 to 34 years - With two or more types of health insurance coverage &amp; Other coverage combinations]])/Table1[[#This Row],[Total]]</f>
        <v>1.7489243229562137</v>
      </c>
      <c r="AP12" s="9">
        <f>100%-Table1[[#This Row],[18 to 34 years - Penetration rate]]</f>
        <v>-0.74892432295621369</v>
      </c>
      <c r="AQ12" s="6">
        <v>88</v>
      </c>
      <c r="AR12" s="6">
        <v>223</v>
      </c>
      <c r="AS12" s="6">
        <f>SUM(Table1[[#This Row],[35 to 64 years - With one type of health insurance coverage]:[35 to 64 years - With two or more types of health insurance coverage &amp; Other coverage combinations]])</f>
        <v>308</v>
      </c>
      <c r="AT12" s="9">
        <f>(Table1[[#This Row],[35 to 64 years]]-Table1[[#This Row],[35 to 64 years - No health insurance coverage]])/Table1[[#This Row],[35 to 64 years]]</f>
        <v>0.6905829596412556</v>
      </c>
      <c r="AU12" s="9">
        <f>IFERROR(Table1[[#This Row],[Coverage Rate ( 35 to 64 years )]], 0)</f>
        <v>0.6905829596412556</v>
      </c>
      <c r="AV12" s="6">
        <v>129</v>
      </c>
      <c r="AW12" s="6">
        <v>92</v>
      </c>
      <c r="AX12" s="6">
        <v>0</v>
      </c>
      <c r="AY12" s="6">
        <v>15</v>
      </c>
      <c r="AZ12" s="6">
        <v>22</v>
      </c>
      <c r="BA12" s="6">
        <v>0</v>
      </c>
      <c r="BB12" s="6">
        <v>0</v>
      </c>
      <c r="BC12" s="6">
        <v>25</v>
      </c>
      <c r="BD12" s="6">
        <v>0</v>
      </c>
      <c r="BE12" s="6">
        <v>0</v>
      </c>
      <c r="BF12" s="6">
        <v>0</v>
      </c>
      <c r="BG12" s="6">
        <v>2</v>
      </c>
      <c r="BH12" s="6">
        <v>0</v>
      </c>
      <c r="BI12" s="6">
        <v>0</v>
      </c>
      <c r="BJ12" s="6">
        <v>23</v>
      </c>
      <c r="BK12" s="9">
        <f>SUM(Table1[[#This Row],[35 to 64 years - With one type of health insurance coverage]:[35 to 64 years - With two or more types of health insurance coverage &amp; Other coverage combinations]])/Table1[[#This Row],[Total]]</f>
        <v>7.7954948114401415E-2</v>
      </c>
      <c r="BL12" s="9">
        <f>100%-Table1[[#This Row],[35 to 64 years - Penetration Rate]]</f>
        <v>0.9220450518855986</v>
      </c>
      <c r="BM12" s="6">
        <v>69</v>
      </c>
      <c r="BN12" s="6">
        <v>114</v>
      </c>
      <c r="BO12" s="6">
        <f>SUM(Table1[[#This Row],[65 years and over - With one type of health insurance coverage]:[65 years and over - With two or more types of health insurance coverage &amp; Other coverage combinations]])</f>
        <v>228</v>
      </c>
      <c r="BP12" s="9">
        <f>(Table1[[#This Row],[65 years and over]]-Table1[[#This Row],[65 years and over - No health insurance coverage]])/Table1[[#This Row],[65 years and over]]</f>
        <v>1</v>
      </c>
      <c r="BQ12" s="9">
        <f>IFERROR(Table1[[#This Row],[Coverage Rate ( 65 years and over )]], 0)</f>
        <v>1</v>
      </c>
      <c r="BR12" s="6">
        <v>48</v>
      </c>
      <c r="BS12" s="6">
        <v>30</v>
      </c>
      <c r="BT12" s="6">
        <v>0</v>
      </c>
      <c r="BU12" s="6">
        <v>18</v>
      </c>
      <c r="BV12" s="6">
        <v>0</v>
      </c>
      <c r="BW12" s="6">
        <v>0</v>
      </c>
      <c r="BX12" s="6">
        <v>66</v>
      </c>
      <c r="BY12" s="6">
        <v>0</v>
      </c>
      <c r="BZ12" s="6">
        <v>25</v>
      </c>
      <c r="CA12" s="6">
        <v>25</v>
      </c>
      <c r="CB12" s="6">
        <v>4</v>
      </c>
      <c r="CC12" s="6">
        <v>0</v>
      </c>
      <c r="CD12" s="6">
        <v>0</v>
      </c>
      <c r="CE12" s="6">
        <v>12</v>
      </c>
      <c r="CF12" s="9">
        <f>SUM(Table1[[#This Row],[65 years and over - With one type of health insurance coverage]:[65 years and over - With two or more types of health insurance coverage &amp; Other coverage combinations]])/Table1[[#This Row],[Total]]</f>
        <v>5.7706909643128322E-2</v>
      </c>
      <c r="CG12" s="9">
        <f>100%-Table1[[#This Row],[65 years and over - Penetration Rate]]</f>
        <v>0.9422930903568717</v>
      </c>
      <c r="CH12" s="6">
        <v>0</v>
      </c>
      <c r="CI12" s="6"/>
    </row>
    <row r="13" spans="1:87" x14ac:dyDescent="0.35">
      <c r="A13" t="s">
        <v>18</v>
      </c>
      <c r="B13">
        <v>12</v>
      </c>
      <c r="C13" s="5">
        <v>915</v>
      </c>
      <c r="D13" s="5">
        <v>249</v>
      </c>
      <c r="E13" s="5">
        <f>SUM(Table1[[#This Row],[Under 18 years - With one type of health insurance coverage]:[Under 18 years - With two or more types of health insurance coverage &amp; Other coverage combinations]])</f>
        <v>498</v>
      </c>
      <c r="F13" s="6">
        <v>171</v>
      </c>
      <c r="G13" s="6">
        <v>133</v>
      </c>
      <c r="H13" s="6">
        <v>0</v>
      </c>
      <c r="I13" s="6">
        <v>0</v>
      </c>
      <c r="J13" s="6">
        <v>38</v>
      </c>
      <c r="K13" s="6">
        <v>0</v>
      </c>
      <c r="L13" s="6">
        <v>0</v>
      </c>
      <c r="M13" s="6">
        <v>78</v>
      </c>
      <c r="N13" s="6">
        <v>0</v>
      </c>
      <c r="O13" s="6">
        <v>0</v>
      </c>
      <c r="P13" s="6">
        <v>0</v>
      </c>
      <c r="Q13" s="6">
        <v>0</v>
      </c>
      <c r="R13" s="6">
        <v>0</v>
      </c>
      <c r="S13" s="6">
        <v>78</v>
      </c>
      <c r="T13" s="9">
        <f>SUM(Table1[[#This Row],[Under 18 years - With one type of health insurance coverage]:[Under 18 years - With two or more types of health insurance coverage &amp; Other coverage combinations]])/Table1[[#This Row],[Total]]</f>
        <v>0.54426229508196722</v>
      </c>
      <c r="U13" s="9">
        <f>100%-Table1[[#This Row],[Under 18 years - Penetration Rate]]</f>
        <v>0.45573770491803278</v>
      </c>
      <c r="V13" s="6">
        <v>0</v>
      </c>
      <c r="W13" s="6">
        <v>215</v>
      </c>
      <c r="X13" s="6">
        <f>SUM(Table1[[#This Row],[18 to 34 years - With one type of health insurance coverage]:[18 to 34 years - With two or more types of health insurance coverage &amp; Other coverage combinations]])</f>
        <v>410</v>
      </c>
      <c r="Y13" s="9">
        <f>(Table1[[#This Row],[18 to 34 years]] - Table1[[#This Row],[18 to 34 years - No health insurance coverage]]) / Table1[[#This Row],[18 to 34 years]]</f>
        <v>0.95348837209302328</v>
      </c>
      <c r="Z13" s="9">
        <f>IFERROR(Table1[[#This Row],[Coverage Rate ( 18 to 34 years )]], 0)</f>
        <v>0.95348837209302328</v>
      </c>
      <c r="AA13" s="6">
        <v>205</v>
      </c>
      <c r="AB13" s="6">
        <v>171</v>
      </c>
      <c r="AC13" s="6">
        <v>14</v>
      </c>
      <c r="AD13" s="6">
        <v>0</v>
      </c>
      <c r="AE13" s="6">
        <v>14</v>
      </c>
      <c r="AF13" s="6">
        <v>6</v>
      </c>
      <c r="AG13" s="6">
        <v>0</v>
      </c>
      <c r="AH13" s="6">
        <v>0</v>
      </c>
      <c r="AI13" s="6">
        <v>0</v>
      </c>
      <c r="AJ13" s="6">
        <v>0</v>
      </c>
      <c r="AK13" s="6">
        <v>0</v>
      </c>
      <c r="AL13" s="6">
        <v>0</v>
      </c>
      <c r="AM13" s="6">
        <v>0</v>
      </c>
      <c r="AN13" s="6">
        <v>0</v>
      </c>
      <c r="AO13" s="9">
        <f>SUM(Table1[[#This Row],[18 to 34 years - With one type of health insurance coverage]:[18 to 34 years - With two or more types of health insurance coverage &amp; Other coverage combinations]])/Table1[[#This Row],[Total]]</f>
        <v>0.44808743169398907</v>
      </c>
      <c r="AP13" s="9">
        <f>100%-Table1[[#This Row],[18 to 34 years - Penetration rate]]</f>
        <v>0.55191256830601088</v>
      </c>
      <c r="AQ13" s="6">
        <v>10</v>
      </c>
      <c r="AR13" s="6">
        <v>342</v>
      </c>
      <c r="AS13" s="6">
        <f>SUM(Table1[[#This Row],[35 to 64 years - With one type of health insurance coverage]:[35 to 64 years - With two or more types of health insurance coverage &amp; Other coverage combinations]])</f>
        <v>626</v>
      </c>
      <c r="AT13" s="9">
        <f>(Table1[[#This Row],[35 to 64 years]]-Table1[[#This Row],[35 to 64 years - No health insurance coverage]])/Table1[[#This Row],[35 to 64 years]]</f>
        <v>0.91520467836257313</v>
      </c>
      <c r="AU13" s="9">
        <f>IFERROR(Table1[[#This Row],[Coverage Rate ( 35 to 64 years )]], 0)</f>
        <v>0.91520467836257313</v>
      </c>
      <c r="AV13" s="6">
        <v>307</v>
      </c>
      <c r="AW13" s="6">
        <v>278</v>
      </c>
      <c r="AX13" s="6">
        <v>22</v>
      </c>
      <c r="AY13" s="6">
        <v>0</v>
      </c>
      <c r="AZ13" s="6">
        <v>7</v>
      </c>
      <c r="BA13" s="6">
        <v>0</v>
      </c>
      <c r="BB13" s="6">
        <v>0</v>
      </c>
      <c r="BC13" s="6">
        <v>6</v>
      </c>
      <c r="BD13" s="6">
        <v>4</v>
      </c>
      <c r="BE13" s="6">
        <v>0</v>
      </c>
      <c r="BF13" s="6">
        <v>0</v>
      </c>
      <c r="BG13" s="6">
        <v>0</v>
      </c>
      <c r="BH13" s="6">
        <v>0</v>
      </c>
      <c r="BI13" s="6">
        <v>0</v>
      </c>
      <c r="BJ13" s="6">
        <v>2</v>
      </c>
      <c r="BK13" s="9">
        <f>SUM(Table1[[#This Row],[35 to 64 years - With one type of health insurance coverage]:[35 to 64 years - With two or more types of health insurance coverage &amp; Other coverage combinations]])/Table1[[#This Row],[Total]]</f>
        <v>0.68415300546448088</v>
      </c>
      <c r="BL13" s="9">
        <f>100%-Table1[[#This Row],[35 to 64 years - Penetration Rate]]</f>
        <v>0.31584699453551912</v>
      </c>
      <c r="BM13" s="6">
        <v>29</v>
      </c>
      <c r="BN13" s="6">
        <v>109</v>
      </c>
      <c r="BO13" s="6">
        <f>SUM(Table1[[#This Row],[65 years and over - With one type of health insurance coverage]:[65 years and over - With two or more types of health insurance coverage &amp; Other coverage combinations]])</f>
        <v>218</v>
      </c>
      <c r="BP13" s="9">
        <f>(Table1[[#This Row],[65 years and over]]-Table1[[#This Row],[65 years and over - No health insurance coverage]])/Table1[[#This Row],[65 years and over]]</f>
        <v>1</v>
      </c>
      <c r="BQ13" s="9">
        <f>IFERROR(Table1[[#This Row],[Coverage Rate ( 65 years and over )]], 0)</f>
        <v>1</v>
      </c>
      <c r="BR13" s="6">
        <v>11</v>
      </c>
      <c r="BS13" s="6">
        <v>0</v>
      </c>
      <c r="BT13" s="6">
        <v>0</v>
      </c>
      <c r="BU13" s="6">
        <v>11</v>
      </c>
      <c r="BV13" s="6">
        <v>0</v>
      </c>
      <c r="BW13" s="6">
        <v>0</v>
      </c>
      <c r="BX13" s="6">
        <v>98</v>
      </c>
      <c r="BY13" s="6">
        <v>0</v>
      </c>
      <c r="BZ13" s="6">
        <v>36</v>
      </c>
      <c r="CA13" s="6">
        <v>21</v>
      </c>
      <c r="CB13" s="6">
        <v>0</v>
      </c>
      <c r="CC13" s="6">
        <v>0</v>
      </c>
      <c r="CD13" s="6">
        <v>0</v>
      </c>
      <c r="CE13" s="6">
        <v>41</v>
      </c>
      <c r="CF13" s="9">
        <f>SUM(Table1[[#This Row],[65 years and over - With one type of health insurance coverage]:[65 years and over - With two or more types of health insurance coverage &amp; Other coverage combinations]])/Table1[[#This Row],[Total]]</f>
        <v>0.23825136612021858</v>
      </c>
      <c r="CG13" s="9">
        <f>100%-Table1[[#This Row],[65 years and over - Penetration Rate]]</f>
        <v>0.76174863387978142</v>
      </c>
      <c r="CH13" s="6">
        <v>0</v>
      </c>
      <c r="CI13" s="6"/>
    </row>
    <row r="14" spans="1:87" x14ac:dyDescent="0.35">
      <c r="A14" t="s">
        <v>19</v>
      </c>
      <c r="B14">
        <v>13</v>
      </c>
      <c r="C14" s="5">
        <v>7361</v>
      </c>
      <c r="D14" s="5">
        <v>1425</v>
      </c>
      <c r="E14" s="5">
        <f>SUM(Table1[[#This Row],[Under 18 years - With one type of health insurance coverage]:[Under 18 years - With two or more types of health insurance coverage &amp; Other coverage combinations]])</f>
        <v>2750</v>
      </c>
      <c r="F14" s="6">
        <v>1132</v>
      </c>
      <c r="G14" s="6">
        <v>449</v>
      </c>
      <c r="H14" s="6">
        <v>172</v>
      </c>
      <c r="I14" s="6">
        <v>0</v>
      </c>
      <c r="J14" s="6">
        <v>511</v>
      </c>
      <c r="K14" s="6">
        <v>0</v>
      </c>
      <c r="L14" s="6">
        <v>0</v>
      </c>
      <c r="M14" s="6">
        <v>243</v>
      </c>
      <c r="N14" s="6">
        <v>74</v>
      </c>
      <c r="O14" s="6">
        <v>0</v>
      </c>
      <c r="P14" s="6">
        <v>0</v>
      </c>
      <c r="Q14" s="6">
        <v>0</v>
      </c>
      <c r="R14" s="6">
        <v>0</v>
      </c>
      <c r="S14" s="6">
        <v>169</v>
      </c>
      <c r="T14" s="9">
        <f>SUM(Table1[[#This Row],[Under 18 years - With one type of health insurance coverage]:[Under 18 years - With two or more types of health insurance coverage &amp; Other coverage combinations]])/Table1[[#This Row],[Total]]</f>
        <v>0.37359054476293979</v>
      </c>
      <c r="U14" s="9">
        <f>100%-Table1[[#This Row],[Under 18 years - Penetration Rate]]</f>
        <v>0.62640945523706026</v>
      </c>
      <c r="V14" s="6">
        <v>50</v>
      </c>
      <c r="W14" s="6">
        <v>1688</v>
      </c>
      <c r="X14" s="6">
        <f>SUM(Table1[[#This Row],[18 to 34 years - With one type of health insurance coverage]:[18 to 34 years - With two or more types of health insurance coverage &amp; Other coverage combinations]])</f>
        <v>3008</v>
      </c>
      <c r="Y14" s="9">
        <f>(Table1[[#This Row],[18 to 34 years]] - Table1[[#This Row],[18 to 34 years - No health insurance coverage]]) / Table1[[#This Row],[18 to 34 years]]</f>
        <v>0.89099526066350709</v>
      </c>
      <c r="Z14" s="9">
        <f>IFERROR(Table1[[#This Row],[Coverage Rate ( 18 to 34 years )]], 0)</f>
        <v>0.89099526066350709</v>
      </c>
      <c r="AA14" s="6">
        <v>1304</v>
      </c>
      <c r="AB14" s="6">
        <v>1005</v>
      </c>
      <c r="AC14" s="6">
        <v>77</v>
      </c>
      <c r="AD14" s="6">
        <v>0</v>
      </c>
      <c r="AE14" s="6">
        <v>212</v>
      </c>
      <c r="AF14" s="6">
        <v>0</v>
      </c>
      <c r="AG14" s="6">
        <v>10</v>
      </c>
      <c r="AH14" s="6">
        <v>200</v>
      </c>
      <c r="AI14" s="6">
        <v>74</v>
      </c>
      <c r="AJ14" s="6">
        <v>0</v>
      </c>
      <c r="AK14" s="6">
        <v>17</v>
      </c>
      <c r="AL14" s="6">
        <v>0</v>
      </c>
      <c r="AM14" s="6">
        <v>0</v>
      </c>
      <c r="AN14" s="6">
        <v>109</v>
      </c>
      <c r="AO14" s="9">
        <f>SUM(Table1[[#This Row],[18 to 34 years - With one type of health insurance coverage]:[18 to 34 years - With two or more types of health insurance coverage &amp; Other coverage combinations]])/Table1[[#This Row],[Total]]</f>
        <v>0.40864013041706287</v>
      </c>
      <c r="AP14" s="9">
        <f>100%-Table1[[#This Row],[18 to 34 years - Penetration rate]]</f>
        <v>0.59135986958293718</v>
      </c>
      <c r="AQ14" s="6">
        <v>184</v>
      </c>
      <c r="AR14" s="6">
        <v>3057</v>
      </c>
      <c r="AS14" s="6">
        <f>SUM(Table1[[#This Row],[35 to 64 years - With one type of health insurance coverage]:[35 to 64 years - With two or more types of health insurance coverage &amp; Other coverage combinations]])</f>
        <v>5414</v>
      </c>
      <c r="AT14" s="9">
        <f>(Table1[[#This Row],[35 to 64 years]]-Table1[[#This Row],[35 to 64 years - No health insurance coverage]])/Table1[[#This Row],[35 to 64 years]]</f>
        <v>0.88550866862937516</v>
      </c>
      <c r="AU14" s="9">
        <f>IFERROR(Table1[[#This Row],[Coverage Rate ( 35 to 64 years )]], 0)</f>
        <v>0.88550866862937516</v>
      </c>
      <c r="AV14" s="6">
        <v>2393</v>
      </c>
      <c r="AW14" s="6">
        <v>1839</v>
      </c>
      <c r="AX14" s="6">
        <v>288</v>
      </c>
      <c r="AY14" s="6">
        <v>23</v>
      </c>
      <c r="AZ14" s="6">
        <v>217</v>
      </c>
      <c r="BA14" s="6">
        <v>0</v>
      </c>
      <c r="BB14" s="6">
        <v>26</v>
      </c>
      <c r="BC14" s="6">
        <v>314</v>
      </c>
      <c r="BD14" s="6">
        <v>67</v>
      </c>
      <c r="BE14" s="6">
        <v>28</v>
      </c>
      <c r="BF14" s="6">
        <v>0</v>
      </c>
      <c r="BG14" s="6">
        <v>84</v>
      </c>
      <c r="BH14" s="6">
        <v>10</v>
      </c>
      <c r="BI14" s="6">
        <v>16</v>
      </c>
      <c r="BJ14" s="6">
        <v>109</v>
      </c>
      <c r="BK14" s="9">
        <f>SUM(Table1[[#This Row],[35 to 64 years - With one type of health insurance coverage]:[35 to 64 years - With two or more types of health insurance coverage &amp; Other coverage combinations]])/Table1[[#This Row],[Total]]</f>
        <v>0.73549789430783863</v>
      </c>
      <c r="BL14" s="9">
        <f>100%-Table1[[#This Row],[35 to 64 years - Penetration Rate]]</f>
        <v>0.26450210569216137</v>
      </c>
      <c r="BM14" s="6">
        <v>350</v>
      </c>
      <c r="BN14" s="6">
        <v>1191</v>
      </c>
      <c r="BO14" s="6">
        <f>SUM(Table1[[#This Row],[65 years and over - With one type of health insurance coverage]:[65 years and over - With two or more types of health insurance coverage &amp; Other coverage combinations]])</f>
        <v>2382</v>
      </c>
      <c r="BP14" s="9">
        <f>(Table1[[#This Row],[65 years and over]]-Table1[[#This Row],[65 years and over - No health insurance coverage]])/Table1[[#This Row],[65 years and over]]</f>
        <v>1</v>
      </c>
      <c r="BQ14" s="9">
        <f>IFERROR(Table1[[#This Row],[Coverage Rate ( 65 years and over )]], 0)</f>
        <v>1</v>
      </c>
      <c r="BR14" s="6">
        <v>293</v>
      </c>
      <c r="BS14" s="6">
        <v>8</v>
      </c>
      <c r="BT14" s="6">
        <v>0</v>
      </c>
      <c r="BU14" s="6">
        <v>285</v>
      </c>
      <c r="BV14" s="6">
        <v>0</v>
      </c>
      <c r="BW14" s="6">
        <v>0</v>
      </c>
      <c r="BX14" s="6">
        <v>898</v>
      </c>
      <c r="BY14" s="6">
        <v>0</v>
      </c>
      <c r="BZ14" s="6">
        <v>217</v>
      </c>
      <c r="CA14" s="6">
        <v>282</v>
      </c>
      <c r="CB14" s="6">
        <v>101</v>
      </c>
      <c r="CC14" s="6">
        <v>0</v>
      </c>
      <c r="CD14" s="6">
        <v>20</v>
      </c>
      <c r="CE14" s="6">
        <v>278</v>
      </c>
      <c r="CF14" s="9">
        <f>SUM(Table1[[#This Row],[65 years and over - With one type of health insurance coverage]:[65 years and over - With two or more types of health insurance coverage &amp; Other coverage combinations]])/Table1[[#This Row],[Total]]</f>
        <v>0.32359733731829915</v>
      </c>
      <c r="CG14" s="9">
        <f>100%-Table1[[#This Row],[65 years and over - Penetration Rate]]</f>
        <v>0.67640266268170079</v>
      </c>
      <c r="CH14" s="6">
        <v>0</v>
      </c>
      <c r="CI14" s="6"/>
    </row>
    <row r="15" spans="1:87" x14ac:dyDescent="0.35">
      <c r="A15" t="s">
        <v>20</v>
      </c>
      <c r="B15">
        <v>14</v>
      </c>
      <c r="C15" s="5">
        <v>13150</v>
      </c>
      <c r="D15" s="5">
        <v>2532</v>
      </c>
      <c r="E15" s="5">
        <f>SUM(Table1[[#This Row],[Under 18 years - With one type of health insurance coverage]:[Under 18 years - With two or more types of health insurance coverage &amp; Other coverage combinations]])</f>
        <v>4630</v>
      </c>
      <c r="F15" s="6">
        <v>2239</v>
      </c>
      <c r="G15" s="6">
        <v>1137</v>
      </c>
      <c r="H15" s="6">
        <v>105</v>
      </c>
      <c r="I15" s="6">
        <v>11</v>
      </c>
      <c r="J15" s="6">
        <v>937</v>
      </c>
      <c r="K15" s="6">
        <v>49</v>
      </c>
      <c r="L15" s="6">
        <v>0</v>
      </c>
      <c r="M15" s="6">
        <v>76</v>
      </c>
      <c r="N15" s="6">
        <v>10</v>
      </c>
      <c r="O15" s="6">
        <v>0</v>
      </c>
      <c r="P15" s="6">
        <v>0</v>
      </c>
      <c r="Q15" s="6">
        <v>0</v>
      </c>
      <c r="R15" s="6">
        <v>0</v>
      </c>
      <c r="S15" s="6">
        <v>66</v>
      </c>
      <c r="T15" s="9">
        <f>SUM(Table1[[#This Row],[Under 18 years - With one type of health insurance coverage]:[Under 18 years - With two or more types of health insurance coverage &amp; Other coverage combinations]])/Table1[[#This Row],[Total]]</f>
        <v>0.35209125475285169</v>
      </c>
      <c r="U15" s="9">
        <f>100%-Table1[[#This Row],[Under 18 years - Penetration Rate]]</f>
        <v>0.64790874524714837</v>
      </c>
      <c r="V15" s="6">
        <v>217</v>
      </c>
      <c r="W15" s="6">
        <v>3173</v>
      </c>
      <c r="X15" s="6">
        <f>SUM(Table1[[#This Row],[18 to 34 years - With one type of health insurance coverage]:[18 to 34 years - With two or more types of health insurance coverage &amp; Other coverage combinations]])</f>
        <v>5432</v>
      </c>
      <c r="Y15" s="9">
        <f>(Table1[[#This Row],[18 to 34 years]] - Table1[[#This Row],[18 to 34 years - No health insurance coverage]]) / Table1[[#This Row],[18 to 34 years]]</f>
        <v>0.85597226599432719</v>
      </c>
      <c r="Z15" s="9">
        <f>IFERROR(Table1[[#This Row],[Coverage Rate ( 18 to 34 years )]], 0)</f>
        <v>0.85597226599432719</v>
      </c>
      <c r="AA15" s="6">
        <v>2579</v>
      </c>
      <c r="AB15" s="6">
        <v>2099</v>
      </c>
      <c r="AC15" s="6">
        <v>156</v>
      </c>
      <c r="AD15" s="6">
        <v>14</v>
      </c>
      <c r="AE15" s="6">
        <v>291</v>
      </c>
      <c r="AF15" s="6">
        <v>0</v>
      </c>
      <c r="AG15" s="6">
        <v>19</v>
      </c>
      <c r="AH15" s="6">
        <v>137</v>
      </c>
      <c r="AI15" s="6">
        <v>28</v>
      </c>
      <c r="AJ15" s="6">
        <v>0</v>
      </c>
      <c r="AK15" s="6">
        <v>56</v>
      </c>
      <c r="AL15" s="6">
        <v>9</v>
      </c>
      <c r="AM15" s="6">
        <v>0</v>
      </c>
      <c r="AN15" s="6">
        <v>44</v>
      </c>
      <c r="AO15" s="9">
        <f>SUM(Table1[[#This Row],[18 to 34 years - With one type of health insurance coverage]:[18 to 34 years - With two or more types of health insurance coverage &amp; Other coverage combinations]])/Table1[[#This Row],[Total]]</f>
        <v>0.41307984790874525</v>
      </c>
      <c r="AP15" s="9">
        <f>100%-Table1[[#This Row],[18 to 34 years - Penetration rate]]</f>
        <v>0.58692015209125481</v>
      </c>
      <c r="AQ15" s="6">
        <v>457</v>
      </c>
      <c r="AR15" s="6">
        <v>5534</v>
      </c>
      <c r="AS15" s="6">
        <f>SUM(Table1[[#This Row],[35 to 64 years - With one type of health insurance coverage]:[35 to 64 years - With two or more types of health insurance coverage &amp; Other coverage combinations]])</f>
        <v>9898</v>
      </c>
      <c r="AT15" s="9">
        <f>(Table1[[#This Row],[35 to 64 years]]-Table1[[#This Row],[35 to 64 years - No health insurance coverage]])/Table1[[#This Row],[35 to 64 years]]</f>
        <v>0.89428984459703653</v>
      </c>
      <c r="AU15" s="9">
        <f>IFERROR(Table1[[#This Row],[Coverage Rate ( 35 to 64 years )]], 0)</f>
        <v>0.89428984459703653</v>
      </c>
      <c r="AV15" s="6">
        <v>4605</v>
      </c>
      <c r="AW15" s="6">
        <v>3671</v>
      </c>
      <c r="AX15" s="6">
        <v>287</v>
      </c>
      <c r="AY15" s="6">
        <v>102</v>
      </c>
      <c r="AZ15" s="6">
        <v>384</v>
      </c>
      <c r="BA15" s="6">
        <v>55</v>
      </c>
      <c r="BB15" s="6">
        <v>106</v>
      </c>
      <c r="BC15" s="6">
        <v>344</v>
      </c>
      <c r="BD15" s="6">
        <v>109</v>
      </c>
      <c r="BE15" s="6">
        <v>16</v>
      </c>
      <c r="BF15" s="6">
        <v>20</v>
      </c>
      <c r="BG15" s="6">
        <v>76</v>
      </c>
      <c r="BH15" s="6">
        <v>17</v>
      </c>
      <c r="BI15" s="6">
        <v>12</v>
      </c>
      <c r="BJ15" s="6">
        <v>94</v>
      </c>
      <c r="BK15" s="9">
        <f>SUM(Table1[[#This Row],[35 to 64 years - With one type of health insurance coverage]:[35 to 64 years - With two or more types of health insurance coverage &amp; Other coverage combinations]])/Table1[[#This Row],[Total]]</f>
        <v>0.75269961977186317</v>
      </c>
      <c r="BL15" s="9">
        <f>100%-Table1[[#This Row],[35 to 64 years - Penetration Rate]]</f>
        <v>0.24730038022813683</v>
      </c>
      <c r="BM15" s="6">
        <v>585</v>
      </c>
      <c r="BN15" s="6">
        <v>1911</v>
      </c>
      <c r="BO15" s="6">
        <f>SUM(Table1[[#This Row],[65 years and over - With one type of health insurance coverage]:[65 years and over - With two or more types of health insurance coverage &amp; Other coverage combinations]])</f>
        <v>3822</v>
      </c>
      <c r="BP15" s="9">
        <f>(Table1[[#This Row],[65 years and over]]-Table1[[#This Row],[65 years and over - No health insurance coverage]])/Table1[[#This Row],[65 years and over]]</f>
        <v>1</v>
      </c>
      <c r="BQ15" s="9">
        <f>IFERROR(Table1[[#This Row],[Coverage Rate ( 65 years and over )]], 0)</f>
        <v>1</v>
      </c>
      <c r="BR15" s="6">
        <v>339</v>
      </c>
      <c r="BS15" s="6">
        <v>40</v>
      </c>
      <c r="BT15" s="6">
        <v>0</v>
      </c>
      <c r="BU15" s="6">
        <v>299</v>
      </c>
      <c r="BV15" s="6">
        <v>0</v>
      </c>
      <c r="BW15" s="6">
        <v>0</v>
      </c>
      <c r="BX15" s="6">
        <v>1572</v>
      </c>
      <c r="BY15" s="6">
        <v>0</v>
      </c>
      <c r="BZ15" s="6">
        <v>356</v>
      </c>
      <c r="CA15" s="6">
        <v>559</v>
      </c>
      <c r="CB15" s="6">
        <v>92</v>
      </c>
      <c r="CC15" s="6">
        <v>0</v>
      </c>
      <c r="CD15" s="6">
        <v>67</v>
      </c>
      <c r="CE15" s="6">
        <v>498</v>
      </c>
      <c r="CF15" s="9">
        <f>SUM(Table1[[#This Row],[65 years and over - With one type of health insurance coverage]:[65 years and over - With two or more types of health insurance coverage &amp; Other coverage combinations]])/Table1[[#This Row],[Total]]</f>
        <v>0.29064638783269964</v>
      </c>
      <c r="CG15" s="9">
        <f>100%-Table1[[#This Row],[65 years and over - Penetration Rate]]</f>
        <v>0.70935361216730031</v>
      </c>
      <c r="CH15" s="6">
        <v>0</v>
      </c>
      <c r="CI15" s="6"/>
    </row>
    <row r="16" spans="1:87" x14ac:dyDescent="0.35">
      <c r="A16" t="s">
        <v>21</v>
      </c>
      <c r="B16">
        <v>15</v>
      </c>
      <c r="C16" s="5">
        <v>795</v>
      </c>
      <c r="D16" s="5">
        <v>186</v>
      </c>
      <c r="E16" s="5">
        <f>SUM(Table1[[#This Row],[Under 18 years - With one type of health insurance coverage]:[Under 18 years - With two or more types of health insurance coverage &amp; Other coverage combinations]])</f>
        <v>372</v>
      </c>
      <c r="F16" s="6">
        <v>179</v>
      </c>
      <c r="G16" s="6">
        <v>47</v>
      </c>
      <c r="H16" s="6">
        <v>0</v>
      </c>
      <c r="I16" s="6">
        <v>0</v>
      </c>
      <c r="J16" s="6">
        <v>132</v>
      </c>
      <c r="K16" s="6">
        <v>0</v>
      </c>
      <c r="L16" s="6">
        <v>0</v>
      </c>
      <c r="M16" s="6">
        <v>7</v>
      </c>
      <c r="N16" s="6">
        <v>0</v>
      </c>
      <c r="O16" s="6">
        <v>0</v>
      </c>
      <c r="P16" s="6">
        <v>0</v>
      </c>
      <c r="Q16" s="6">
        <v>0</v>
      </c>
      <c r="R16" s="6">
        <v>0</v>
      </c>
      <c r="S16" s="6">
        <v>7</v>
      </c>
      <c r="T16" s="9">
        <f>SUM(Table1[[#This Row],[Under 18 years - With one type of health insurance coverage]:[Under 18 years - With two or more types of health insurance coverage &amp; Other coverage combinations]])/Table1[[#This Row],[Total]]</f>
        <v>0.4679245283018868</v>
      </c>
      <c r="U16" s="9">
        <f>100%-Table1[[#This Row],[Under 18 years - Penetration Rate]]</f>
        <v>0.5320754716981132</v>
      </c>
      <c r="V16" s="6">
        <v>0</v>
      </c>
      <c r="W16" s="6">
        <v>242</v>
      </c>
      <c r="X16" s="6">
        <f>SUM(Table1[[#This Row],[18 to 34 years - With one type of health insurance coverage]:[18 to 34 years - With two or more types of health insurance coverage &amp; Other coverage combinations]])</f>
        <v>366</v>
      </c>
      <c r="Y16" s="9">
        <f>(Table1[[#This Row],[18 to 34 years]] - Table1[[#This Row],[18 to 34 years - No health insurance coverage]]) / Table1[[#This Row],[18 to 34 years]]</f>
        <v>0.75619834710743805</v>
      </c>
      <c r="Z16" s="9">
        <f>IFERROR(Table1[[#This Row],[Coverage Rate ( 18 to 34 years )]], 0)</f>
        <v>0.75619834710743805</v>
      </c>
      <c r="AA16" s="6">
        <v>130</v>
      </c>
      <c r="AB16" s="6">
        <v>68</v>
      </c>
      <c r="AC16" s="6">
        <v>0</v>
      </c>
      <c r="AD16" s="6">
        <v>0</v>
      </c>
      <c r="AE16" s="6">
        <v>62</v>
      </c>
      <c r="AF16" s="6">
        <v>0</v>
      </c>
      <c r="AG16" s="6">
        <v>0</v>
      </c>
      <c r="AH16" s="6">
        <v>53</v>
      </c>
      <c r="AI16" s="6">
        <v>0</v>
      </c>
      <c r="AJ16" s="6">
        <v>0</v>
      </c>
      <c r="AK16" s="6">
        <v>29</v>
      </c>
      <c r="AL16" s="6">
        <v>21</v>
      </c>
      <c r="AM16" s="6">
        <v>0</v>
      </c>
      <c r="AN16" s="6">
        <v>3</v>
      </c>
      <c r="AO16" s="9">
        <f>SUM(Table1[[#This Row],[18 to 34 years - With one type of health insurance coverage]:[18 to 34 years - With two or more types of health insurance coverage &amp; Other coverage combinations]])/Table1[[#This Row],[Total]]</f>
        <v>0.46037735849056605</v>
      </c>
      <c r="AP16" s="9">
        <f>100%-Table1[[#This Row],[18 to 34 years - Penetration rate]]</f>
        <v>0.53962264150943395</v>
      </c>
      <c r="AQ16" s="6">
        <v>59</v>
      </c>
      <c r="AR16" s="6">
        <v>293</v>
      </c>
      <c r="AS16" s="6">
        <f>SUM(Table1[[#This Row],[35 to 64 years - With one type of health insurance coverage]:[35 to 64 years - With two or more types of health insurance coverage &amp; Other coverage combinations]])</f>
        <v>412</v>
      </c>
      <c r="AT16" s="9">
        <f>(Table1[[#This Row],[35 to 64 years]]-Table1[[#This Row],[35 to 64 years - No health insurance coverage]])/Table1[[#This Row],[35 to 64 years]]</f>
        <v>0.70307167235494883</v>
      </c>
      <c r="AU16" s="9">
        <f>IFERROR(Table1[[#This Row],[Coverage Rate ( 35 to 64 years )]], 0)</f>
        <v>0.70307167235494883</v>
      </c>
      <c r="AV16" s="6">
        <v>182</v>
      </c>
      <c r="AW16" s="6">
        <v>79</v>
      </c>
      <c r="AX16" s="6">
        <v>20</v>
      </c>
      <c r="AY16" s="6">
        <v>16</v>
      </c>
      <c r="AZ16" s="6">
        <v>67</v>
      </c>
      <c r="BA16" s="6">
        <v>0</v>
      </c>
      <c r="BB16" s="6">
        <v>0</v>
      </c>
      <c r="BC16" s="6">
        <v>24</v>
      </c>
      <c r="BD16" s="6">
        <v>0</v>
      </c>
      <c r="BE16" s="6">
        <v>0</v>
      </c>
      <c r="BF16" s="6">
        <v>4</v>
      </c>
      <c r="BG16" s="6">
        <v>14</v>
      </c>
      <c r="BH16" s="6">
        <v>0</v>
      </c>
      <c r="BI16" s="6">
        <v>6</v>
      </c>
      <c r="BJ16" s="6">
        <v>0</v>
      </c>
      <c r="BK16" s="9">
        <f>SUM(Table1[[#This Row],[35 to 64 years - With one type of health insurance coverage]:[35 to 64 years - With two or more types of health insurance coverage &amp; Other coverage combinations]])/Table1[[#This Row],[Total]]</f>
        <v>0.51823899371069182</v>
      </c>
      <c r="BL16" s="9">
        <f>100%-Table1[[#This Row],[35 to 64 years - Penetration Rate]]</f>
        <v>0.48176100628930818</v>
      </c>
      <c r="BM16" s="6">
        <v>87</v>
      </c>
      <c r="BN16" s="6">
        <v>74</v>
      </c>
      <c r="BO16" s="6">
        <f>SUM(Table1[[#This Row],[65 years and over - With one type of health insurance coverage]:[65 years and over - With two or more types of health insurance coverage &amp; Other coverage combinations]])</f>
        <v>148</v>
      </c>
      <c r="BP16" s="9">
        <f>(Table1[[#This Row],[65 years and over]]-Table1[[#This Row],[65 years and over - No health insurance coverage]])/Table1[[#This Row],[65 years and over]]</f>
        <v>1</v>
      </c>
      <c r="BQ16" s="9">
        <f>IFERROR(Table1[[#This Row],[Coverage Rate ( 65 years and over )]], 0)</f>
        <v>1</v>
      </c>
      <c r="BR16" s="6">
        <v>28</v>
      </c>
      <c r="BS16" s="6">
        <v>6</v>
      </c>
      <c r="BT16" s="6">
        <v>0</v>
      </c>
      <c r="BU16" s="6">
        <v>18</v>
      </c>
      <c r="BV16" s="6">
        <v>0</v>
      </c>
      <c r="BW16" s="6">
        <v>4</v>
      </c>
      <c r="BX16" s="6">
        <v>46</v>
      </c>
      <c r="BY16" s="6">
        <v>0</v>
      </c>
      <c r="BZ16" s="6">
        <v>7</v>
      </c>
      <c r="CA16" s="6">
        <v>10</v>
      </c>
      <c r="CB16" s="6">
        <v>20</v>
      </c>
      <c r="CC16" s="6">
        <v>0</v>
      </c>
      <c r="CD16" s="6">
        <v>5</v>
      </c>
      <c r="CE16" s="6">
        <v>4</v>
      </c>
      <c r="CF16" s="9">
        <f>SUM(Table1[[#This Row],[65 years and over - With one type of health insurance coverage]:[65 years and over - With two or more types of health insurance coverage &amp; Other coverage combinations]])/Table1[[#This Row],[Total]]</f>
        <v>0.1861635220125786</v>
      </c>
      <c r="CG16" s="9">
        <f>100%-Table1[[#This Row],[65 years and over - Penetration Rate]]</f>
        <v>0.81383647798742142</v>
      </c>
      <c r="CH16" s="6">
        <v>0</v>
      </c>
      <c r="CI16" s="6"/>
    </row>
    <row r="17" spans="1:87" x14ac:dyDescent="0.35">
      <c r="A17" t="s">
        <v>22</v>
      </c>
      <c r="B17">
        <v>16</v>
      </c>
      <c r="C17" s="5">
        <v>10111</v>
      </c>
      <c r="D17" s="5">
        <v>2117</v>
      </c>
      <c r="E17" s="5">
        <f>SUM(Table1[[#This Row],[Under 18 years - With one type of health insurance coverage]:[Under 18 years - With two or more types of health insurance coverage &amp; Other coverage combinations]])</f>
        <v>4186</v>
      </c>
      <c r="F17" s="6">
        <v>1984</v>
      </c>
      <c r="G17" s="6">
        <v>446</v>
      </c>
      <c r="H17" s="6">
        <v>51</v>
      </c>
      <c r="I17" s="6">
        <v>0</v>
      </c>
      <c r="J17" s="6">
        <v>1487</v>
      </c>
      <c r="K17" s="6">
        <v>0</v>
      </c>
      <c r="L17" s="6">
        <v>0</v>
      </c>
      <c r="M17" s="6">
        <v>109</v>
      </c>
      <c r="N17" s="6">
        <v>1</v>
      </c>
      <c r="O17" s="6">
        <v>0</v>
      </c>
      <c r="P17" s="6">
        <v>20</v>
      </c>
      <c r="Q17" s="6">
        <v>0</v>
      </c>
      <c r="R17" s="6">
        <v>0</v>
      </c>
      <c r="S17" s="6">
        <v>88</v>
      </c>
      <c r="T17" s="9">
        <f>SUM(Table1[[#This Row],[Under 18 years - With one type of health insurance coverage]:[Under 18 years - With two or more types of health insurance coverage &amp; Other coverage combinations]])/Table1[[#This Row],[Total]]</f>
        <v>0.41400454950054394</v>
      </c>
      <c r="U17" s="9">
        <f>100%-Table1[[#This Row],[Under 18 years - Penetration Rate]]</f>
        <v>0.58599545049945601</v>
      </c>
      <c r="V17" s="6">
        <v>24</v>
      </c>
      <c r="W17" s="6">
        <v>2549</v>
      </c>
      <c r="X17" s="6">
        <f>SUM(Table1[[#This Row],[18 to 34 years - With one type of health insurance coverage]:[18 to 34 years - With two or more types of health insurance coverage &amp; Other coverage combinations]])</f>
        <v>3892</v>
      </c>
      <c r="Y17" s="9">
        <f>(Table1[[#This Row],[18 to 34 years]] - Table1[[#This Row],[18 to 34 years - No health insurance coverage]]) / Table1[[#This Row],[18 to 34 years]]</f>
        <v>0.76343664182032167</v>
      </c>
      <c r="Z17" s="9">
        <f>IFERROR(Table1[[#This Row],[Coverage Rate ( 18 to 34 years )]], 0)</f>
        <v>0.76343664182032167</v>
      </c>
      <c r="AA17" s="6">
        <v>1885</v>
      </c>
      <c r="AB17" s="6">
        <v>1208</v>
      </c>
      <c r="AC17" s="6">
        <v>137</v>
      </c>
      <c r="AD17" s="6">
        <v>0</v>
      </c>
      <c r="AE17" s="6">
        <v>540</v>
      </c>
      <c r="AF17" s="6">
        <v>0</v>
      </c>
      <c r="AG17" s="6">
        <v>0</v>
      </c>
      <c r="AH17" s="6">
        <v>61</v>
      </c>
      <c r="AI17" s="6">
        <v>0</v>
      </c>
      <c r="AJ17" s="6">
        <v>0</v>
      </c>
      <c r="AK17" s="6">
        <v>36</v>
      </c>
      <c r="AL17" s="6">
        <v>0</v>
      </c>
      <c r="AM17" s="6">
        <v>0</v>
      </c>
      <c r="AN17" s="6">
        <v>25</v>
      </c>
      <c r="AO17" s="9">
        <f>SUM(Table1[[#This Row],[18 to 34 years - With one type of health insurance coverage]:[18 to 34 years - With two or more types of health insurance coverage &amp; Other coverage combinations]])/Table1[[#This Row],[Total]]</f>
        <v>0.38492730689348237</v>
      </c>
      <c r="AP17" s="9">
        <f>100%-Table1[[#This Row],[18 to 34 years - Penetration rate]]</f>
        <v>0.61507269310651758</v>
      </c>
      <c r="AQ17" s="6">
        <v>603</v>
      </c>
      <c r="AR17" s="6">
        <v>4001</v>
      </c>
      <c r="AS17" s="6">
        <f>SUM(Table1[[#This Row],[35 to 64 years - With one type of health insurance coverage]:[35 to 64 years - With two or more types of health insurance coverage &amp; Other coverage combinations]])</f>
        <v>7294</v>
      </c>
      <c r="AT17" s="9">
        <f>(Table1[[#This Row],[35 to 64 years]]-Table1[[#This Row],[35 to 64 years - No health insurance coverage]])/Table1[[#This Row],[35 to 64 years]]</f>
        <v>0.91152211947013251</v>
      </c>
      <c r="AU17" s="9">
        <f>IFERROR(Table1[[#This Row],[Coverage Rate ( 35 to 64 years )]], 0)</f>
        <v>0.91152211947013251</v>
      </c>
      <c r="AV17" s="6">
        <v>3155</v>
      </c>
      <c r="AW17" s="6">
        <v>2312</v>
      </c>
      <c r="AX17" s="6">
        <v>212</v>
      </c>
      <c r="AY17" s="6">
        <v>33</v>
      </c>
      <c r="AZ17" s="6">
        <v>499</v>
      </c>
      <c r="BA17" s="6">
        <v>0</v>
      </c>
      <c r="BB17" s="6">
        <v>99</v>
      </c>
      <c r="BC17" s="6">
        <v>492</v>
      </c>
      <c r="BD17" s="6">
        <v>37</v>
      </c>
      <c r="BE17" s="6">
        <v>30</v>
      </c>
      <c r="BF17" s="6">
        <v>20</v>
      </c>
      <c r="BG17" s="6">
        <v>182</v>
      </c>
      <c r="BH17" s="6">
        <v>1</v>
      </c>
      <c r="BI17" s="6">
        <v>32</v>
      </c>
      <c r="BJ17" s="6">
        <v>190</v>
      </c>
      <c r="BK17" s="9">
        <f>SUM(Table1[[#This Row],[35 to 64 years - With one type of health insurance coverage]:[35 to 64 years - With two or more types of health insurance coverage &amp; Other coverage combinations]])/Table1[[#This Row],[Total]]</f>
        <v>0.72139254277519538</v>
      </c>
      <c r="BL17" s="9">
        <f>100%-Table1[[#This Row],[35 to 64 years - Penetration Rate]]</f>
        <v>0.27860745722480462</v>
      </c>
      <c r="BM17" s="6">
        <v>354</v>
      </c>
      <c r="BN17" s="6">
        <v>1444</v>
      </c>
      <c r="BO17" s="6">
        <f>SUM(Table1[[#This Row],[65 years and over - With one type of health insurance coverage]:[65 years and over - With two or more types of health insurance coverage &amp; Other coverage combinations]])</f>
        <v>2842</v>
      </c>
      <c r="BP17" s="9">
        <f>(Table1[[#This Row],[65 years and over]]-Table1[[#This Row],[65 years and over - No health insurance coverage]])/Table1[[#This Row],[65 years and over]]</f>
        <v>0.98407202216066481</v>
      </c>
      <c r="BQ17" s="9">
        <f>IFERROR(Table1[[#This Row],[Coverage Rate ( 65 years and over )]], 0)</f>
        <v>0.98407202216066481</v>
      </c>
      <c r="BR17" s="6">
        <v>233</v>
      </c>
      <c r="BS17" s="6">
        <v>67</v>
      </c>
      <c r="BT17" s="6">
        <v>0</v>
      </c>
      <c r="BU17" s="6">
        <v>166</v>
      </c>
      <c r="BV17" s="6">
        <v>0</v>
      </c>
      <c r="BW17" s="6">
        <v>0</v>
      </c>
      <c r="BX17" s="6">
        <v>1188</v>
      </c>
      <c r="BY17" s="6">
        <v>0</v>
      </c>
      <c r="BZ17" s="6">
        <v>270</v>
      </c>
      <c r="CA17" s="6">
        <v>468</v>
      </c>
      <c r="CB17" s="6">
        <v>107</v>
      </c>
      <c r="CC17" s="6">
        <v>0</v>
      </c>
      <c r="CD17" s="6">
        <v>15</v>
      </c>
      <c r="CE17" s="6">
        <v>328</v>
      </c>
      <c r="CF17" s="9">
        <f>SUM(Table1[[#This Row],[65 years and over - With one type of health insurance coverage]:[65 years and over - With two or more types of health insurance coverage &amp; Other coverage combinations]])/Table1[[#This Row],[Total]]</f>
        <v>0.28108001186826231</v>
      </c>
      <c r="CG17" s="9">
        <f>100%-Table1[[#This Row],[65 years and over - Penetration Rate]]</f>
        <v>0.71891998813173763</v>
      </c>
      <c r="CH17" s="6">
        <v>23</v>
      </c>
      <c r="CI17" s="6"/>
    </row>
    <row r="18" spans="1:87" x14ac:dyDescent="0.35">
      <c r="A18" t="s">
        <v>23</v>
      </c>
      <c r="B18">
        <v>17</v>
      </c>
      <c r="C18" s="5">
        <v>4060</v>
      </c>
      <c r="D18" s="5">
        <v>69</v>
      </c>
      <c r="E18" s="5">
        <f>SUM(Table1[[#This Row],[Under 18 years - With one type of health insurance coverage]:[Under 18 years - With two or more types of health insurance coverage &amp; Other coverage combinations]])</f>
        <v>138</v>
      </c>
      <c r="F18" s="6">
        <v>69</v>
      </c>
      <c r="G18" s="6">
        <v>57</v>
      </c>
      <c r="H18" s="6">
        <v>0</v>
      </c>
      <c r="I18" s="6">
        <v>0</v>
      </c>
      <c r="J18" s="6">
        <v>12</v>
      </c>
      <c r="K18" s="6">
        <v>0</v>
      </c>
      <c r="L18" s="6">
        <v>0</v>
      </c>
      <c r="M18" s="6">
        <v>0</v>
      </c>
      <c r="N18" s="6">
        <v>0</v>
      </c>
      <c r="O18" s="6">
        <v>0</v>
      </c>
      <c r="P18" s="6">
        <v>0</v>
      </c>
      <c r="Q18" s="6">
        <v>0</v>
      </c>
      <c r="R18" s="6">
        <v>0</v>
      </c>
      <c r="S18" s="6">
        <v>0</v>
      </c>
      <c r="T18" s="9">
        <f>SUM(Table1[[#This Row],[Under 18 years - With one type of health insurance coverage]:[Under 18 years - With two or more types of health insurance coverage &amp; Other coverage combinations]])/Table1[[#This Row],[Total]]</f>
        <v>3.3990147783251233E-2</v>
      </c>
      <c r="U18" s="9">
        <f>100%-Table1[[#This Row],[Under 18 years - Penetration Rate]]</f>
        <v>0.96600985221674873</v>
      </c>
      <c r="V18" s="6">
        <v>0</v>
      </c>
      <c r="W18" s="6">
        <v>2400</v>
      </c>
      <c r="X18" s="6">
        <f>SUM(Table1[[#This Row],[18 to 34 years - With one type of health insurance coverage]:[18 to 34 years - With two or more types of health insurance coverage &amp; Other coverage combinations]])</f>
        <v>4452</v>
      </c>
      <c r="Y18" s="9">
        <f>(Table1[[#This Row],[18 to 34 years]] - Table1[[#This Row],[18 to 34 years - No health insurance coverage]]) / Table1[[#This Row],[18 to 34 years]]</f>
        <v>0.92749999999999999</v>
      </c>
      <c r="Z18" s="9">
        <f>IFERROR(Table1[[#This Row],[Coverage Rate ( 18 to 34 years )]], 0)</f>
        <v>0.92749999999999999</v>
      </c>
      <c r="AA18" s="6">
        <v>2104</v>
      </c>
      <c r="AB18" s="6">
        <v>1670</v>
      </c>
      <c r="AC18" s="6">
        <v>360</v>
      </c>
      <c r="AD18" s="6">
        <v>0</v>
      </c>
      <c r="AE18" s="6">
        <v>67</v>
      </c>
      <c r="AF18" s="6">
        <v>7</v>
      </c>
      <c r="AG18" s="6">
        <v>0</v>
      </c>
      <c r="AH18" s="6">
        <v>122</v>
      </c>
      <c r="AI18" s="6">
        <v>70</v>
      </c>
      <c r="AJ18" s="6">
        <v>0</v>
      </c>
      <c r="AK18" s="6">
        <v>13</v>
      </c>
      <c r="AL18" s="6">
        <v>10</v>
      </c>
      <c r="AM18" s="6">
        <v>0</v>
      </c>
      <c r="AN18" s="6">
        <v>29</v>
      </c>
      <c r="AO18" s="9">
        <f>SUM(Table1[[#This Row],[18 to 34 years - With one type of health insurance coverage]:[18 to 34 years - With two or more types of health insurance coverage &amp; Other coverage combinations]])/Table1[[#This Row],[Total]]</f>
        <v>1.096551724137931</v>
      </c>
      <c r="AP18" s="9">
        <f>100%-Table1[[#This Row],[18 to 34 years - Penetration rate]]</f>
        <v>-9.6551724137931005E-2</v>
      </c>
      <c r="AQ18" s="6">
        <v>174</v>
      </c>
      <c r="AR18" s="6">
        <v>1182</v>
      </c>
      <c r="AS18" s="6">
        <f>SUM(Table1[[#This Row],[35 to 64 years - With one type of health insurance coverage]:[35 to 64 years - With two or more types of health insurance coverage &amp; Other coverage combinations]])</f>
        <v>2094</v>
      </c>
      <c r="AT18" s="9">
        <f>(Table1[[#This Row],[35 to 64 years]]-Table1[[#This Row],[35 to 64 years - No health insurance coverage]])/Table1[[#This Row],[35 to 64 years]]</f>
        <v>0.8857868020304569</v>
      </c>
      <c r="AU18" s="9">
        <f>IFERROR(Table1[[#This Row],[Coverage Rate ( 35 to 64 years )]], 0)</f>
        <v>0.8857868020304569</v>
      </c>
      <c r="AV18" s="6">
        <v>928</v>
      </c>
      <c r="AW18" s="6">
        <v>757</v>
      </c>
      <c r="AX18" s="6">
        <v>132</v>
      </c>
      <c r="AY18" s="6">
        <v>0</v>
      </c>
      <c r="AZ18" s="6">
        <v>39</v>
      </c>
      <c r="BA18" s="6">
        <v>0</v>
      </c>
      <c r="BB18" s="6">
        <v>0</v>
      </c>
      <c r="BC18" s="6">
        <v>119</v>
      </c>
      <c r="BD18" s="6">
        <v>44</v>
      </c>
      <c r="BE18" s="6">
        <v>0</v>
      </c>
      <c r="BF18" s="6">
        <v>0</v>
      </c>
      <c r="BG18" s="6">
        <v>38</v>
      </c>
      <c r="BH18" s="6">
        <v>0</v>
      </c>
      <c r="BI18" s="6">
        <v>11</v>
      </c>
      <c r="BJ18" s="6">
        <v>26</v>
      </c>
      <c r="BK18" s="9">
        <f>SUM(Table1[[#This Row],[35 to 64 years - With one type of health insurance coverage]:[35 to 64 years - With two or more types of health insurance coverage &amp; Other coverage combinations]])/Table1[[#This Row],[Total]]</f>
        <v>0.5157635467980296</v>
      </c>
      <c r="BL18" s="9">
        <f>100%-Table1[[#This Row],[35 to 64 years - Penetration Rate]]</f>
        <v>0.4842364532019704</v>
      </c>
      <c r="BM18" s="6">
        <v>135</v>
      </c>
      <c r="BN18" s="6">
        <v>409</v>
      </c>
      <c r="BO18" s="6">
        <f>SUM(Table1[[#This Row],[65 years and over - With one type of health insurance coverage]:[65 years and over - With two or more types of health insurance coverage &amp; Other coverage combinations]])</f>
        <v>818</v>
      </c>
      <c r="BP18" s="9">
        <f>(Table1[[#This Row],[65 years and over]]-Table1[[#This Row],[65 years and over - No health insurance coverage]])/Table1[[#This Row],[65 years and over]]</f>
        <v>1</v>
      </c>
      <c r="BQ18" s="9">
        <f>IFERROR(Table1[[#This Row],[Coverage Rate ( 65 years and over )]], 0)</f>
        <v>1</v>
      </c>
      <c r="BR18" s="6">
        <v>89</v>
      </c>
      <c r="BS18" s="6">
        <v>9</v>
      </c>
      <c r="BT18" s="6">
        <v>0</v>
      </c>
      <c r="BU18" s="6">
        <v>71</v>
      </c>
      <c r="BV18" s="6">
        <v>0</v>
      </c>
      <c r="BW18" s="6">
        <v>9</v>
      </c>
      <c r="BX18" s="6">
        <v>320</v>
      </c>
      <c r="BY18" s="6">
        <v>0</v>
      </c>
      <c r="BZ18" s="6">
        <v>35</v>
      </c>
      <c r="CA18" s="6">
        <v>126</v>
      </c>
      <c r="CB18" s="6">
        <v>42</v>
      </c>
      <c r="CC18" s="6">
        <v>0</v>
      </c>
      <c r="CD18" s="6">
        <v>11</v>
      </c>
      <c r="CE18" s="6">
        <v>106</v>
      </c>
      <c r="CF18" s="9">
        <f>SUM(Table1[[#This Row],[65 years and over - With one type of health insurance coverage]:[65 years and over - With two or more types of health insurance coverage &amp; Other coverage combinations]])/Table1[[#This Row],[Total]]</f>
        <v>0.20147783251231527</v>
      </c>
      <c r="CG18" s="9">
        <f>100%-Table1[[#This Row],[65 years and over - Penetration Rate]]</f>
        <v>0.79852216748768479</v>
      </c>
      <c r="CH18" s="6">
        <v>0</v>
      </c>
      <c r="CI18" s="6"/>
    </row>
    <row r="19" spans="1:87" x14ac:dyDescent="0.35">
      <c r="A19" t="s">
        <v>24</v>
      </c>
      <c r="B19">
        <v>18</v>
      </c>
      <c r="C19" s="5">
        <v>4598</v>
      </c>
      <c r="D19" s="5">
        <v>367</v>
      </c>
      <c r="E19" s="5">
        <f>SUM(Table1[[#This Row],[Under 18 years - With one type of health insurance coverage]:[Under 18 years - With two or more types of health insurance coverage &amp; Other coverage combinations]])</f>
        <v>676</v>
      </c>
      <c r="F19" s="6">
        <v>325</v>
      </c>
      <c r="G19" s="6">
        <v>137</v>
      </c>
      <c r="H19" s="6">
        <v>21</v>
      </c>
      <c r="I19" s="6">
        <v>0</v>
      </c>
      <c r="J19" s="6">
        <v>167</v>
      </c>
      <c r="K19" s="6">
        <v>0</v>
      </c>
      <c r="L19" s="6">
        <v>0</v>
      </c>
      <c r="M19" s="6">
        <v>13</v>
      </c>
      <c r="N19" s="6">
        <v>13</v>
      </c>
      <c r="O19" s="6">
        <v>0</v>
      </c>
      <c r="P19" s="6">
        <v>0</v>
      </c>
      <c r="Q19" s="6">
        <v>0</v>
      </c>
      <c r="R19" s="6">
        <v>0</v>
      </c>
      <c r="S19" s="6">
        <v>0</v>
      </c>
      <c r="T19" s="9">
        <f>SUM(Table1[[#This Row],[Under 18 years - With one type of health insurance coverage]:[Under 18 years - With two or more types of health insurance coverage &amp; Other coverage combinations]])/Table1[[#This Row],[Total]]</f>
        <v>0.14702044367116138</v>
      </c>
      <c r="U19" s="9">
        <f>100%-Table1[[#This Row],[Under 18 years - Penetration Rate]]</f>
        <v>0.8529795563288386</v>
      </c>
      <c r="V19" s="6">
        <v>29</v>
      </c>
      <c r="W19" s="6">
        <v>1838</v>
      </c>
      <c r="X19" s="6">
        <f>SUM(Table1[[#This Row],[18 to 34 years - With one type of health insurance coverage]:[18 to 34 years - With two or more types of health insurance coverage &amp; Other coverage combinations]])</f>
        <v>3064</v>
      </c>
      <c r="Y19" s="9">
        <f>(Table1[[#This Row],[18 to 34 years]] - Table1[[#This Row],[18 to 34 years - No health insurance coverage]]) / Table1[[#This Row],[18 to 34 years]]</f>
        <v>0.83351468988030464</v>
      </c>
      <c r="Z19" s="9">
        <f>IFERROR(Table1[[#This Row],[Coverage Rate ( 18 to 34 years )]], 0)</f>
        <v>0.83351468988030464</v>
      </c>
      <c r="AA19" s="6">
        <v>1449</v>
      </c>
      <c r="AB19" s="6">
        <v>1242</v>
      </c>
      <c r="AC19" s="6">
        <v>128</v>
      </c>
      <c r="AD19" s="6">
        <v>0</v>
      </c>
      <c r="AE19" s="6">
        <v>79</v>
      </c>
      <c r="AF19" s="6">
        <v>0</v>
      </c>
      <c r="AG19" s="6">
        <v>0</v>
      </c>
      <c r="AH19" s="6">
        <v>83</v>
      </c>
      <c r="AI19" s="6">
        <v>28</v>
      </c>
      <c r="AJ19" s="6">
        <v>0</v>
      </c>
      <c r="AK19" s="6">
        <v>1</v>
      </c>
      <c r="AL19" s="6">
        <v>0</v>
      </c>
      <c r="AM19" s="6">
        <v>0</v>
      </c>
      <c r="AN19" s="6">
        <v>54</v>
      </c>
      <c r="AO19" s="9">
        <f>SUM(Table1[[#This Row],[18 to 34 years - With one type of health insurance coverage]:[18 to 34 years - With two or more types of health insurance coverage &amp; Other coverage combinations]])/Table1[[#This Row],[Total]]</f>
        <v>0.66637668551544149</v>
      </c>
      <c r="AP19" s="9">
        <f>100%-Table1[[#This Row],[18 to 34 years - Penetration rate]]</f>
        <v>0.33362331448455851</v>
      </c>
      <c r="AQ19" s="6">
        <v>306</v>
      </c>
      <c r="AR19" s="6">
        <v>1729</v>
      </c>
      <c r="AS19" s="6">
        <f>SUM(Table1[[#This Row],[35 to 64 years - With one type of health insurance coverage]:[35 to 64 years - With two or more types of health insurance coverage &amp; Other coverage combinations]])</f>
        <v>3064</v>
      </c>
      <c r="AT19" s="9">
        <f>(Table1[[#This Row],[35 to 64 years]]-Table1[[#This Row],[35 to 64 years - No health insurance coverage]])/Table1[[#This Row],[35 to 64 years]]</f>
        <v>0.88606130711393871</v>
      </c>
      <c r="AU19" s="9">
        <f>IFERROR(Table1[[#This Row],[Coverage Rate ( 35 to 64 years )]], 0)</f>
        <v>0.88606130711393871</v>
      </c>
      <c r="AV19" s="6">
        <v>1419</v>
      </c>
      <c r="AW19" s="6">
        <v>1072</v>
      </c>
      <c r="AX19" s="6">
        <v>122</v>
      </c>
      <c r="AY19" s="6">
        <v>41</v>
      </c>
      <c r="AZ19" s="6">
        <v>184</v>
      </c>
      <c r="BA19" s="6">
        <v>0</v>
      </c>
      <c r="BB19" s="6">
        <v>0</v>
      </c>
      <c r="BC19" s="6">
        <v>113</v>
      </c>
      <c r="BD19" s="6">
        <v>41</v>
      </c>
      <c r="BE19" s="6">
        <v>4</v>
      </c>
      <c r="BF19" s="6">
        <v>8</v>
      </c>
      <c r="BG19" s="6">
        <v>18</v>
      </c>
      <c r="BH19" s="6">
        <v>0</v>
      </c>
      <c r="BI19" s="6">
        <v>0</v>
      </c>
      <c r="BJ19" s="6">
        <v>42</v>
      </c>
      <c r="BK19" s="9">
        <f>SUM(Table1[[#This Row],[35 to 64 years - With one type of health insurance coverage]:[35 to 64 years - With two or more types of health insurance coverage &amp; Other coverage combinations]])/Table1[[#This Row],[Total]]</f>
        <v>0.66637668551544149</v>
      </c>
      <c r="BL19" s="9">
        <f>100%-Table1[[#This Row],[35 to 64 years - Penetration Rate]]</f>
        <v>0.33362331448455851</v>
      </c>
      <c r="BM19" s="6">
        <v>197</v>
      </c>
      <c r="BN19" s="6">
        <v>664</v>
      </c>
      <c r="BO19" s="6">
        <f>SUM(Table1[[#This Row],[65 years and over - With one type of health insurance coverage]:[65 years and over - With two or more types of health insurance coverage &amp; Other coverage combinations]])</f>
        <v>1328</v>
      </c>
      <c r="BP19" s="9">
        <f>(Table1[[#This Row],[65 years and over]]-Table1[[#This Row],[65 years and over - No health insurance coverage]])/Table1[[#This Row],[65 years and over]]</f>
        <v>1</v>
      </c>
      <c r="BQ19" s="9">
        <f>IFERROR(Table1[[#This Row],[Coverage Rate ( 65 years and over )]], 0)</f>
        <v>1</v>
      </c>
      <c r="BR19" s="6">
        <v>230</v>
      </c>
      <c r="BS19" s="6">
        <v>50</v>
      </c>
      <c r="BT19" s="6">
        <v>0</v>
      </c>
      <c r="BU19" s="6">
        <v>180</v>
      </c>
      <c r="BV19" s="6">
        <v>0</v>
      </c>
      <c r="BW19" s="6">
        <v>0</v>
      </c>
      <c r="BX19" s="6">
        <v>434</v>
      </c>
      <c r="BY19" s="6">
        <v>0</v>
      </c>
      <c r="BZ19" s="6">
        <v>98</v>
      </c>
      <c r="CA19" s="6">
        <v>134</v>
      </c>
      <c r="CB19" s="6">
        <v>73</v>
      </c>
      <c r="CC19" s="6">
        <v>0</v>
      </c>
      <c r="CD19" s="6">
        <v>28</v>
      </c>
      <c r="CE19" s="6">
        <v>101</v>
      </c>
      <c r="CF19" s="9">
        <f>SUM(Table1[[#This Row],[65 years and over - With one type of health insurance coverage]:[65 years and over - With two or more types of health insurance coverage &amp; Other coverage combinations]])/Table1[[#This Row],[Total]]</f>
        <v>0.28882122662026966</v>
      </c>
      <c r="CG19" s="9">
        <f>100%-Table1[[#This Row],[65 years and over - Penetration Rate]]</f>
        <v>0.71117877337973034</v>
      </c>
      <c r="CH19" s="6">
        <v>0</v>
      </c>
      <c r="CI19" s="6"/>
    </row>
    <row r="20" spans="1:87" x14ac:dyDescent="0.35">
      <c r="A20" t="s">
        <v>25</v>
      </c>
      <c r="B20">
        <v>19</v>
      </c>
      <c r="C20" s="5">
        <v>2887</v>
      </c>
      <c r="D20" s="5">
        <v>548</v>
      </c>
      <c r="E20" s="5">
        <f>SUM(Table1[[#This Row],[Under 18 years - With one type of health insurance coverage]:[Under 18 years - With two or more types of health insurance coverage &amp; Other coverage combinations]])</f>
        <v>1088</v>
      </c>
      <c r="F20" s="6">
        <v>442</v>
      </c>
      <c r="G20" s="6">
        <v>44</v>
      </c>
      <c r="H20" s="6">
        <v>28</v>
      </c>
      <c r="I20" s="6">
        <v>0</v>
      </c>
      <c r="J20" s="6">
        <v>370</v>
      </c>
      <c r="K20" s="6">
        <v>0</v>
      </c>
      <c r="L20" s="6">
        <v>0</v>
      </c>
      <c r="M20" s="6">
        <v>102</v>
      </c>
      <c r="N20" s="6">
        <v>14</v>
      </c>
      <c r="O20" s="6">
        <v>0</v>
      </c>
      <c r="P20" s="6">
        <v>0</v>
      </c>
      <c r="Q20" s="6">
        <v>0</v>
      </c>
      <c r="R20" s="6">
        <v>0</v>
      </c>
      <c r="S20" s="6">
        <v>88</v>
      </c>
      <c r="T20" s="9">
        <f>SUM(Table1[[#This Row],[Under 18 years - With one type of health insurance coverage]:[Under 18 years - With two or more types of health insurance coverage &amp; Other coverage combinations]])/Table1[[#This Row],[Total]]</f>
        <v>0.37686179425008659</v>
      </c>
      <c r="U20" s="9">
        <f>100%-Table1[[#This Row],[Under 18 years - Penetration Rate]]</f>
        <v>0.62313820574991341</v>
      </c>
      <c r="V20" s="6">
        <v>4</v>
      </c>
      <c r="W20" s="6">
        <v>832</v>
      </c>
      <c r="X20" s="6">
        <f>SUM(Table1[[#This Row],[18 to 34 years - With one type of health insurance coverage]:[18 to 34 years - With two or more types of health insurance coverage &amp; Other coverage combinations]])</f>
        <v>1498</v>
      </c>
      <c r="Y20" s="9">
        <f>(Table1[[#This Row],[18 to 34 years]] - Table1[[#This Row],[18 to 34 years - No health insurance coverage]]) / Table1[[#This Row],[18 to 34 years]]</f>
        <v>0.90024038461538458</v>
      </c>
      <c r="Z20" s="9">
        <f>IFERROR(Table1[[#This Row],[Coverage Rate ( 18 to 34 years )]], 0)</f>
        <v>0.90024038461538458</v>
      </c>
      <c r="AA20" s="6">
        <v>655</v>
      </c>
      <c r="AB20" s="6">
        <v>491</v>
      </c>
      <c r="AC20" s="6">
        <v>61</v>
      </c>
      <c r="AD20" s="6">
        <v>0</v>
      </c>
      <c r="AE20" s="6">
        <v>103</v>
      </c>
      <c r="AF20" s="6">
        <v>0</v>
      </c>
      <c r="AG20" s="6">
        <v>0</v>
      </c>
      <c r="AH20" s="6">
        <v>94</v>
      </c>
      <c r="AI20" s="6">
        <v>6</v>
      </c>
      <c r="AJ20" s="6">
        <v>0</v>
      </c>
      <c r="AK20" s="6">
        <v>0</v>
      </c>
      <c r="AL20" s="6">
        <v>0</v>
      </c>
      <c r="AM20" s="6">
        <v>0</v>
      </c>
      <c r="AN20" s="6">
        <v>88</v>
      </c>
      <c r="AO20" s="9">
        <f>SUM(Table1[[#This Row],[18 to 34 years - With one type of health insurance coverage]:[18 to 34 years - With two or more types of health insurance coverage &amp; Other coverage combinations]])/Table1[[#This Row],[Total]]</f>
        <v>0.51887772774506413</v>
      </c>
      <c r="AP20" s="9">
        <f>100%-Table1[[#This Row],[18 to 34 years - Penetration rate]]</f>
        <v>0.48112227225493587</v>
      </c>
      <c r="AQ20" s="6">
        <v>83</v>
      </c>
      <c r="AR20" s="6">
        <v>1077</v>
      </c>
      <c r="AS20" s="6">
        <f>SUM(Table1[[#This Row],[35 to 64 years - With one type of health insurance coverage]:[35 to 64 years - With two or more types of health insurance coverage &amp; Other coverage combinations]])</f>
        <v>1910</v>
      </c>
      <c r="AT20" s="9">
        <f>(Table1[[#This Row],[35 to 64 years]]-Table1[[#This Row],[35 to 64 years - No health insurance coverage]])/Table1[[#This Row],[35 to 64 years]]</f>
        <v>0.88672237697307332</v>
      </c>
      <c r="AU20" s="9">
        <f>IFERROR(Table1[[#This Row],[Coverage Rate ( 35 to 64 years )]], 0)</f>
        <v>0.88672237697307332</v>
      </c>
      <c r="AV20" s="6">
        <v>800</v>
      </c>
      <c r="AW20" s="6">
        <v>519</v>
      </c>
      <c r="AX20" s="6">
        <v>103</v>
      </c>
      <c r="AY20" s="6">
        <v>5</v>
      </c>
      <c r="AZ20" s="6">
        <v>156</v>
      </c>
      <c r="BA20" s="6">
        <v>0</v>
      </c>
      <c r="BB20" s="6">
        <v>17</v>
      </c>
      <c r="BC20" s="6">
        <v>155</v>
      </c>
      <c r="BD20" s="6">
        <v>63</v>
      </c>
      <c r="BE20" s="6">
        <v>10</v>
      </c>
      <c r="BF20" s="6">
        <v>0</v>
      </c>
      <c r="BG20" s="6">
        <v>4</v>
      </c>
      <c r="BH20" s="6">
        <v>0</v>
      </c>
      <c r="BI20" s="6">
        <v>0</v>
      </c>
      <c r="BJ20" s="6">
        <v>78</v>
      </c>
      <c r="BK20" s="9">
        <f>SUM(Table1[[#This Row],[35 to 64 years - With one type of health insurance coverage]:[35 to 64 years - With two or more types of health insurance coverage &amp; Other coverage combinations]])/Table1[[#This Row],[Total]]</f>
        <v>0.66158642189123662</v>
      </c>
      <c r="BL20" s="9">
        <f>100%-Table1[[#This Row],[35 to 64 years - Penetration Rate]]</f>
        <v>0.33841357810876338</v>
      </c>
      <c r="BM20" s="6">
        <v>122</v>
      </c>
      <c r="BN20" s="6">
        <v>430</v>
      </c>
      <c r="BO20" s="6">
        <f>SUM(Table1[[#This Row],[65 years and over - With one type of health insurance coverage]:[65 years and over - With two or more types of health insurance coverage &amp; Other coverage combinations]])</f>
        <v>860</v>
      </c>
      <c r="BP20" s="9">
        <f>(Table1[[#This Row],[65 years and over]]-Table1[[#This Row],[65 years and over - No health insurance coverage]])/Table1[[#This Row],[65 years and over]]</f>
        <v>1</v>
      </c>
      <c r="BQ20" s="9">
        <f>IFERROR(Table1[[#This Row],[Coverage Rate ( 65 years and over )]], 0)</f>
        <v>1</v>
      </c>
      <c r="BR20" s="6">
        <v>78</v>
      </c>
      <c r="BS20" s="6">
        <v>9</v>
      </c>
      <c r="BT20" s="6">
        <v>0</v>
      </c>
      <c r="BU20" s="6">
        <v>69</v>
      </c>
      <c r="BV20" s="6">
        <v>0</v>
      </c>
      <c r="BW20" s="6">
        <v>0</v>
      </c>
      <c r="BX20" s="6">
        <v>352</v>
      </c>
      <c r="BY20" s="6">
        <v>0</v>
      </c>
      <c r="BZ20" s="6">
        <v>69</v>
      </c>
      <c r="CA20" s="6">
        <v>61</v>
      </c>
      <c r="CB20" s="6">
        <v>129</v>
      </c>
      <c r="CC20" s="6">
        <v>0</v>
      </c>
      <c r="CD20" s="6">
        <v>10</v>
      </c>
      <c r="CE20" s="6">
        <v>83</v>
      </c>
      <c r="CF20" s="9">
        <f>SUM(Table1[[#This Row],[65 years and over - With one type of health insurance coverage]:[65 years and over - With two or more types of health insurance coverage &amp; Other coverage combinations]])/Table1[[#This Row],[Total]]</f>
        <v>0.29788708001385522</v>
      </c>
      <c r="CG20" s="9">
        <f>100%-Table1[[#This Row],[65 years and over - Penetration Rate]]</f>
        <v>0.70211291998614478</v>
      </c>
      <c r="CH20" s="6">
        <v>0</v>
      </c>
      <c r="CI20" s="6"/>
    </row>
    <row r="21" spans="1:87" x14ac:dyDescent="0.35">
      <c r="A21" t="s">
        <v>26</v>
      </c>
      <c r="B21">
        <v>20</v>
      </c>
      <c r="C21" s="5">
        <v>5822</v>
      </c>
      <c r="D21" s="5">
        <v>56</v>
      </c>
      <c r="E21" s="5">
        <f>SUM(Table1[[#This Row],[Under 18 years - With one type of health insurance coverage]:[Under 18 years - With two or more types of health insurance coverage &amp; Other coverage combinations]])</f>
        <v>62</v>
      </c>
      <c r="F21" s="6">
        <v>23</v>
      </c>
      <c r="G21" s="6">
        <v>12</v>
      </c>
      <c r="H21" s="6">
        <v>11</v>
      </c>
      <c r="I21" s="6">
        <v>0</v>
      </c>
      <c r="J21" s="6">
        <v>0</v>
      </c>
      <c r="K21" s="6">
        <v>0</v>
      </c>
      <c r="L21" s="6">
        <v>0</v>
      </c>
      <c r="M21" s="6">
        <v>8</v>
      </c>
      <c r="N21" s="6">
        <v>0</v>
      </c>
      <c r="O21" s="6">
        <v>0</v>
      </c>
      <c r="P21" s="6">
        <v>0</v>
      </c>
      <c r="Q21" s="6">
        <v>8</v>
      </c>
      <c r="R21" s="6">
        <v>0</v>
      </c>
      <c r="S21" s="6">
        <v>0</v>
      </c>
      <c r="T21" s="9">
        <f>SUM(Table1[[#This Row],[Under 18 years - With one type of health insurance coverage]:[Under 18 years - With two or more types of health insurance coverage &amp; Other coverage combinations]])/Table1[[#This Row],[Total]]</f>
        <v>1.0649261422191686E-2</v>
      </c>
      <c r="U21" s="9">
        <f>100%-Table1[[#This Row],[Under 18 years - Penetration Rate]]</f>
        <v>0.98935073857780831</v>
      </c>
      <c r="V21" s="6">
        <v>25</v>
      </c>
      <c r="W21" s="6">
        <v>5128</v>
      </c>
      <c r="X21" s="6">
        <f>SUM(Table1[[#This Row],[18 to 34 years - With one type of health insurance coverage]:[18 to 34 years - With two or more types of health insurance coverage &amp; Other coverage combinations]])</f>
        <v>9772</v>
      </c>
      <c r="Y21" s="9">
        <f>(Table1[[#This Row],[18 to 34 years]] - Table1[[#This Row],[18 to 34 years - No health insurance coverage]]) / Table1[[#This Row],[18 to 34 years]]</f>
        <v>0.95280811232449303</v>
      </c>
      <c r="Z21" s="9">
        <f>IFERROR(Table1[[#This Row],[Coverage Rate ( 18 to 34 years )]], 0)</f>
        <v>0.95280811232449303</v>
      </c>
      <c r="AA21" s="6">
        <v>4656</v>
      </c>
      <c r="AB21" s="6">
        <v>3948</v>
      </c>
      <c r="AC21" s="6">
        <v>555</v>
      </c>
      <c r="AD21" s="6">
        <v>0</v>
      </c>
      <c r="AE21" s="6">
        <v>58</v>
      </c>
      <c r="AF21" s="6">
        <v>80</v>
      </c>
      <c r="AG21" s="6">
        <v>15</v>
      </c>
      <c r="AH21" s="6">
        <v>230</v>
      </c>
      <c r="AI21" s="6">
        <v>199</v>
      </c>
      <c r="AJ21" s="6">
        <v>0</v>
      </c>
      <c r="AK21" s="6">
        <v>0</v>
      </c>
      <c r="AL21" s="6">
        <v>8</v>
      </c>
      <c r="AM21" s="6">
        <v>0</v>
      </c>
      <c r="AN21" s="6">
        <v>23</v>
      </c>
      <c r="AO21" s="9">
        <f>SUM(Table1[[#This Row],[18 to 34 years - With one type of health insurance coverage]:[18 to 34 years - With two or more types of health insurance coverage &amp; Other coverage combinations]])/Table1[[#This Row],[Total]]</f>
        <v>1.6784610099622124</v>
      </c>
      <c r="AP21" s="9">
        <f>100%-Table1[[#This Row],[18 to 34 years - Penetration rate]]</f>
        <v>-0.67846100996221237</v>
      </c>
      <c r="AQ21" s="6">
        <v>242</v>
      </c>
      <c r="AR21" s="6">
        <v>433</v>
      </c>
      <c r="AS21" s="6">
        <f>SUM(Table1[[#This Row],[35 to 64 years - With one type of health insurance coverage]:[35 to 64 years - With two or more types of health insurance coverage &amp; Other coverage combinations]])</f>
        <v>662</v>
      </c>
      <c r="AT21" s="9">
        <f>(Table1[[#This Row],[35 to 64 years]]-Table1[[#This Row],[35 to 64 years - No health insurance coverage]])/Table1[[#This Row],[35 to 64 years]]</f>
        <v>0.76443418013856812</v>
      </c>
      <c r="AU21" s="9">
        <f>IFERROR(Table1[[#This Row],[Coverage Rate ( 35 to 64 years )]], 0)</f>
        <v>0.76443418013856812</v>
      </c>
      <c r="AV21" s="6">
        <v>261</v>
      </c>
      <c r="AW21" s="6">
        <v>160</v>
      </c>
      <c r="AX21" s="6">
        <v>63</v>
      </c>
      <c r="AY21" s="6">
        <v>0</v>
      </c>
      <c r="AZ21" s="6">
        <v>38</v>
      </c>
      <c r="BA21" s="6">
        <v>0</v>
      </c>
      <c r="BB21" s="6">
        <v>0</v>
      </c>
      <c r="BC21" s="6">
        <v>70</v>
      </c>
      <c r="BD21" s="6">
        <v>37</v>
      </c>
      <c r="BE21" s="6">
        <v>0</v>
      </c>
      <c r="BF21" s="6">
        <v>16</v>
      </c>
      <c r="BG21" s="6">
        <v>5</v>
      </c>
      <c r="BH21" s="6">
        <v>0</v>
      </c>
      <c r="BI21" s="6">
        <v>0</v>
      </c>
      <c r="BJ21" s="6">
        <v>12</v>
      </c>
      <c r="BK21" s="9">
        <f>SUM(Table1[[#This Row],[35 to 64 years - With one type of health insurance coverage]:[35 to 64 years - With two or more types of health insurance coverage &amp; Other coverage combinations]])/Table1[[#This Row],[Total]]</f>
        <v>0.11370663002404673</v>
      </c>
      <c r="BL21" s="9">
        <f>100%-Table1[[#This Row],[35 to 64 years - Penetration Rate]]</f>
        <v>0.88629336997595332</v>
      </c>
      <c r="BM21" s="6">
        <v>102</v>
      </c>
      <c r="BN21" s="6">
        <v>205</v>
      </c>
      <c r="BO21" s="6">
        <f>SUM(Table1[[#This Row],[65 years and over - With one type of health insurance coverage]:[65 years and over - With two or more types of health insurance coverage &amp; Other coverage combinations]])</f>
        <v>410</v>
      </c>
      <c r="BP21" s="9">
        <f>(Table1[[#This Row],[65 years and over]]-Table1[[#This Row],[65 years and over - No health insurance coverage]])/Table1[[#This Row],[65 years and over]]</f>
        <v>1</v>
      </c>
      <c r="BQ21" s="9">
        <f>IFERROR(Table1[[#This Row],[Coverage Rate ( 65 years and over )]], 0)</f>
        <v>1</v>
      </c>
      <c r="BR21" s="6">
        <v>79</v>
      </c>
      <c r="BS21" s="6">
        <v>12</v>
      </c>
      <c r="BT21" s="6">
        <v>10</v>
      </c>
      <c r="BU21" s="6">
        <v>57</v>
      </c>
      <c r="BV21" s="6">
        <v>0</v>
      </c>
      <c r="BW21" s="6">
        <v>0</v>
      </c>
      <c r="BX21" s="6">
        <v>126</v>
      </c>
      <c r="BY21" s="6">
        <v>0</v>
      </c>
      <c r="BZ21" s="6">
        <v>13</v>
      </c>
      <c r="CA21" s="6">
        <v>60</v>
      </c>
      <c r="CB21" s="6">
        <v>0</v>
      </c>
      <c r="CC21" s="6">
        <v>0</v>
      </c>
      <c r="CD21" s="6">
        <v>0</v>
      </c>
      <c r="CE21" s="6">
        <v>53</v>
      </c>
      <c r="CF21" s="9">
        <f>SUM(Table1[[#This Row],[65 years and over - With one type of health insurance coverage]:[65 years and over - With two or more types of health insurance coverage &amp; Other coverage combinations]])/Table1[[#This Row],[Total]]</f>
        <v>7.0422535211267609E-2</v>
      </c>
      <c r="CG21" s="9">
        <f>100%-Table1[[#This Row],[65 years and over - Penetration Rate]]</f>
        <v>0.92957746478873238</v>
      </c>
      <c r="CH21" s="6">
        <v>0</v>
      </c>
      <c r="CI21" s="6"/>
    </row>
    <row r="22" spans="1:87" x14ac:dyDescent="0.35">
      <c r="A22" t="s">
        <v>27</v>
      </c>
      <c r="B22">
        <v>21</v>
      </c>
      <c r="C22" s="5">
        <v>560</v>
      </c>
      <c r="D22" s="5">
        <v>90</v>
      </c>
      <c r="E22" s="5">
        <f>SUM(Table1[[#This Row],[Under 18 years - With one type of health insurance coverage]:[Under 18 years - With two or more types of health insurance coverage &amp; Other coverage combinations]])</f>
        <v>180</v>
      </c>
      <c r="F22" s="6">
        <v>90</v>
      </c>
      <c r="G22" s="6">
        <v>0</v>
      </c>
      <c r="H22" s="6">
        <v>0</v>
      </c>
      <c r="I22" s="6">
        <v>0</v>
      </c>
      <c r="J22" s="6">
        <v>90</v>
      </c>
      <c r="K22" s="6">
        <v>0</v>
      </c>
      <c r="L22" s="6">
        <v>0</v>
      </c>
      <c r="M22" s="6">
        <v>0</v>
      </c>
      <c r="N22" s="6">
        <v>0</v>
      </c>
      <c r="O22" s="6">
        <v>0</v>
      </c>
      <c r="P22" s="6">
        <v>0</v>
      </c>
      <c r="Q22" s="6">
        <v>0</v>
      </c>
      <c r="R22" s="6">
        <v>0</v>
      </c>
      <c r="S22" s="6">
        <v>0</v>
      </c>
      <c r="T22" s="9">
        <f>SUM(Table1[[#This Row],[Under 18 years - With one type of health insurance coverage]:[Under 18 years - With two or more types of health insurance coverage &amp; Other coverage combinations]])/Table1[[#This Row],[Total]]</f>
        <v>0.32142857142857145</v>
      </c>
      <c r="U22" s="9">
        <f>100%-Table1[[#This Row],[Under 18 years - Penetration Rate]]</f>
        <v>0.6785714285714286</v>
      </c>
      <c r="V22" s="6">
        <v>0</v>
      </c>
      <c r="W22" s="6">
        <v>66</v>
      </c>
      <c r="X22" s="6">
        <f>SUM(Table1[[#This Row],[18 to 34 years - With one type of health insurance coverage]:[18 to 34 years - With two or more types of health insurance coverage &amp; Other coverage combinations]])</f>
        <v>86</v>
      </c>
      <c r="Y22" s="9">
        <f>(Table1[[#This Row],[18 to 34 years]] - Table1[[#This Row],[18 to 34 years - No health insurance coverage]]) / Table1[[#This Row],[18 to 34 years]]</f>
        <v>0.65151515151515149</v>
      </c>
      <c r="Z22" s="9">
        <f>IFERROR(Table1[[#This Row],[Coverage Rate ( 18 to 34 years )]], 0)</f>
        <v>0.65151515151515149</v>
      </c>
      <c r="AA22" s="6">
        <v>43</v>
      </c>
      <c r="AB22" s="6">
        <v>7</v>
      </c>
      <c r="AC22" s="6">
        <v>0</v>
      </c>
      <c r="AD22" s="6">
        <v>0</v>
      </c>
      <c r="AE22" s="6">
        <v>36</v>
      </c>
      <c r="AF22" s="6">
        <v>0</v>
      </c>
      <c r="AG22" s="6">
        <v>0</v>
      </c>
      <c r="AH22" s="6">
        <v>0</v>
      </c>
      <c r="AI22" s="6">
        <v>0</v>
      </c>
      <c r="AJ22" s="6">
        <v>0</v>
      </c>
      <c r="AK22" s="6">
        <v>0</v>
      </c>
      <c r="AL22" s="6">
        <v>0</v>
      </c>
      <c r="AM22" s="6">
        <v>0</v>
      </c>
      <c r="AN22" s="6">
        <v>0</v>
      </c>
      <c r="AO22" s="9">
        <f>SUM(Table1[[#This Row],[18 to 34 years - With one type of health insurance coverage]:[18 to 34 years - With two or more types of health insurance coverage &amp; Other coverage combinations]])/Table1[[#This Row],[Total]]</f>
        <v>0.15357142857142858</v>
      </c>
      <c r="AP22" s="9">
        <f>100%-Table1[[#This Row],[18 to 34 years - Penetration rate]]</f>
        <v>0.84642857142857142</v>
      </c>
      <c r="AQ22" s="6">
        <v>23</v>
      </c>
      <c r="AR22" s="6">
        <v>233</v>
      </c>
      <c r="AS22" s="6">
        <f>SUM(Table1[[#This Row],[35 to 64 years - With one type of health insurance coverage]:[35 to 64 years - With two or more types of health insurance coverage &amp; Other coverage combinations]])</f>
        <v>406</v>
      </c>
      <c r="AT22" s="9">
        <f>(Table1[[#This Row],[35 to 64 years]]-Table1[[#This Row],[35 to 64 years - No health insurance coverage]])/Table1[[#This Row],[35 to 64 years]]</f>
        <v>0.871244635193133</v>
      </c>
      <c r="AU22" s="9">
        <f>IFERROR(Table1[[#This Row],[Coverage Rate ( 35 to 64 years )]], 0)</f>
        <v>0.871244635193133</v>
      </c>
      <c r="AV22" s="6">
        <v>192</v>
      </c>
      <c r="AW22" s="6">
        <v>140</v>
      </c>
      <c r="AX22" s="6">
        <v>28</v>
      </c>
      <c r="AY22" s="6">
        <v>0</v>
      </c>
      <c r="AZ22" s="6">
        <v>24</v>
      </c>
      <c r="BA22" s="6">
        <v>0</v>
      </c>
      <c r="BB22" s="6">
        <v>0</v>
      </c>
      <c r="BC22" s="6">
        <v>11</v>
      </c>
      <c r="BD22" s="6">
        <v>0</v>
      </c>
      <c r="BE22" s="6">
        <v>0</v>
      </c>
      <c r="BF22" s="6">
        <v>0</v>
      </c>
      <c r="BG22" s="6">
        <v>0</v>
      </c>
      <c r="BH22" s="6">
        <v>0</v>
      </c>
      <c r="BI22" s="6">
        <v>11</v>
      </c>
      <c r="BJ22" s="6">
        <v>0</v>
      </c>
      <c r="BK22" s="9">
        <f>SUM(Table1[[#This Row],[35 to 64 years - With one type of health insurance coverage]:[35 to 64 years - With two or more types of health insurance coverage &amp; Other coverage combinations]])/Table1[[#This Row],[Total]]</f>
        <v>0.72499999999999998</v>
      </c>
      <c r="BL22" s="9">
        <f>100%-Table1[[#This Row],[35 to 64 years - Penetration Rate]]</f>
        <v>0.27500000000000002</v>
      </c>
      <c r="BM22" s="6">
        <v>30</v>
      </c>
      <c r="BN22" s="6">
        <v>171</v>
      </c>
      <c r="BO22" s="6">
        <f>SUM(Table1[[#This Row],[65 years and over - With one type of health insurance coverage]:[65 years and over - With two or more types of health insurance coverage &amp; Other coverage combinations]])</f>
        <v>342</v>
      </c>
      <c r="BP22" s="9">
        <f>(Table1[[#This Row],[65 years and over]]-Table1[[#This Row],[65 years and over - No health insurance coverage]])/Table1[[#This Row],[65 years and over]]</f>
        <v>1</v>
      </c>
      <c r="BQ22" s="9">
        <f>IFERROR(Table1[[#This Row],[Coverage Rate ( 65 years and over )]], 0)</f>
        <v>1</v>
      </c>
      <c r="BR22" s="6">
        <v>8</v>
      </c>
      <c r="BS22" s="6">
        <v>0</v>
      </c>
      <c r="BT22" s="6">
        <v>0</v>
      </c>
      <c r="BU22" s="6">
        <v>8</v>
      </c>
      <c r="BV22" s="6">
        <v>0</v>
      </c>
      <c r="BW22" s="6">
        <v>0</v>
      </c>
      <c r="BX22" s="6">
        <v>163</v>
      </c>
      <c r="BY22" s="6">
        <v>0</v>
      </c>
      <c r="BZ22" s="6">
        <v>68</v>
      </c>
      <c r="CA22" s="6">
        <v>19</v>
      </c>
      <c r="CB22" s="6">
        <v>25</v>
      </c>
      <c r="CC22" s="6">
        <v>0</v>
      </c>
      <c r="CD22" s="6">
        <v>8</v>
      </c>
      <c r="CE22" s="6">
        <v>43</v>
      </c>
      <c r="CF22" s="9">
        <f>SUM(Table1[[#This Row],[65 years and over - With one type of health insurance coverage]:[65 years and over - With two or more types of health insurance coverage &amp; Other coverage combinations]])/Table1[[#This Row],[Total]]</f>
        <v>0.61071428571428577</v>
      </c>
      <c r="CG22" s="9">
        <f>100%-Table1[[#This Row],[65 years and over - Penetration Rate]]</f>
        <v>0.38928571428571423</v>
      </c>
      <c r="CH22" s="6">
        <v>0</v>
      </c>
      <c r="CI22" s="6"/>
    </row>
    <row r="23" spans="1:87" x14ac:dyDescent="0.35">
      <c r="A23" t="s">
        <v>28</v>
      </c>
      <c r="B23">
        <v>22</v>
      </c>
      <c r="C23" s="5">
        <v>3</v>
      </c>
      <c r="D23" s="5">
        <v>0</v>
      </c>
      <c r="E23" s="5">
        <f>SUM(Table1[[#This Row],[Under 18 years - With one type of health insurance coverage]:[Under 18 years - With two or more types of health insurance coverage &amp; Other coverage combinations]])</f>
        <v>0</v>
      </c>
      <c r="F23" s="6">
        <v>0</v>
      </c>
      <c r="G23" s="6">
        <v>0</v>
      </c>
      <c r="H23" s="6">
        <v>0</v>
      </c>
      <c r="I23" s="6">
        <v>0</v>
      </c>
      <c r="J23" s="6">
        <v>0</v>
      </c>
      <c r="K23" s="6">
        <v>0</v>
      </c>
      <c r="L23" s="6">
        <v>0</v>
      </c>
      <c r="M23" s="6">
        <v>0</v>
      </c>
      <c r="N23" s="6">
        <v>0</v>
      </c>
      <c r="O23" s="6">
        <v>0</v>
      </c>
      <c r="P23" s="6">
        <v>0</v>
      </c>
      <c r="Q23" s="6">
        <v>0</v>
      </c>
      <c r="R23" s="6">
        <v>0</v>
      </c>
      <c r="S23" s="6">
        <v>0</v>
      </c>
      <c r="T23" s="9">
        <f>SUM(Table1[[#This Row],[Under 18 years - With one type of health insurance coverage]:[Under 18 years - With two or more types of health insurance coverage &amp; Other coverage combinations]])/Table1[[#This Row],[Total]]</f>
        <v>0</v>
      </c>
      <c r="U23" s="9">
        <f>100%-Table1[[#This Row],[Under 18 years - Penetration Rate]]</f>
        <v>1</v>
      </c>
      <c r="V23" s="6">
        <v>0</v>
      </c>
      <c r="W23" s="6">
        <v>0</v>
      </c>
      <c r="X23" s="6">
        <f>SUM(Table1[[#This Row],[18 to 34 years - With one type of health insurance coverage]:[18 to 34 years - With two or more types of health insurance coverage &amp; Other coverage combinations]])</f>
        <v>0</v>
      </c>
      <c r="Y23" s="9" t="e">
        <f>(Table1[[#This Row],[18 to 34 years]] - Table1[[#This Row],[18 to 34 years - No health insurance coverage]]) / Table1[[#This Row],[18 to 34 years]]</f>
        <v>#DIV/0!</v>
      </c>
      <c r="Z23" s="9">
        <f>IFERROR(Table1[[#This Row],[Coverage Rate ( 18 to 34 years )]], 0)</f>
        <v>0</v>
      </c>
      <c r="AA23" s="6">
        <v>0</v>
      </c>
      <c r="AB23" s="6">
        <v>0</v>
      </c>
      <c r="AC23" s="6">
        <v>0</v>
      </c>
      <c r="AD23" s="6">
        <v>0</v>
      </c>
      <c r="AE23" s="6">
        <v>0</v>
      </c>
      <c r="AF23" s="6">
        <v>0</v>
      </c>
      <c r="AG23" s="6">
        <v>0</v>
      </c>
      <c r="AH23" s="6">
        <v>0</v>
      </c>
      <c r="AI23" s="6">
        <v>0</v>
      </c>
      <c r="AJ23" s="6">
        <v>0</v>
      </c>
      <c r="AK23" s="6">
        <v>0</v>
      </c>
      <c r="AL23" s="6">
        <v>0</v>
      </c>
      <c r="AM23" s="6">
        <v>0</v>
      </c>
      <c r="AN23" s="6">
        <v>0</v>
      </c>
      <c r="AO23" s="9">
        <f>SUM(Table1[[#This Row],[18 to 34 years - With one type of health insurance coverage]:[18 to 34 years - With two or more types of health insurance coverage &amp; Other coverage combinations]])/Table1[[#This Row],[Total]]</f>
        <v>0</v>
      </c>
      <c r="AP23" s="9">
        <f>100%-Table1[[#This Row],[18 to 34 years - Penetration rate]]</f>
        <v>1</v>
      </c>
      <c r="AQ23" s="6">
        <v>0</v>
      </c>
      <c r="AR23" s="6">
        <v>0</v>
      </c>
      <c r="AS23" s="6">
        <f>SUM(Table1[[#This Row],[35 to 64 years - With one type of health insurance coverage]:[35 to 64 years - With two or more types of health insurance coverage &amp; Other coverage combinations]])</f>
        <v>0</v>
      </c>
      <c r="AT23" s="9" t="e">
        <f>(Table1[[#This Row],[35 to 64 years]]-Table1[[#This Row],[35 to 64 years - No health insurance coverage]])/Table1[[#This Row],[35 to 64 years]]</f>
        <v>#DIV/0!</v>
      </c>
      <c r="AU23" s="9">
        <f>IFERROR(Table1[[#This Row],[Coverage Rate ( 35 to 64 years )]], 0)</f>
        <v>0</v>
      </c>
      <c r="AV23" s="6">
        <v>0</v>
      </c>
      <c r="AW23" s="6">
        <v>0</v>
      </c>
      <c r="AX23" s="6">
        <v>0</v>
      </c>
      <c r="AY23" s="6">
        <v>0</v>
      </c>
      <c r="AZ23" s="6">
        <v>0</v>
      </c>
      <c r="BA23" s="6">
        <v>0</v>
      </c>
      <c r="BB23" s="6">
        <v>0</v>
      </c>
      <c r="BC23" s="6">
        <v>0</v>
      </c>
      <c r="BD23" s="6">
        <v>0</v>
      </c>
      <c r="BE23" s="6">
        <v>0</v>
      </c>
      <c r="BF23" s="6">
        <v>0</v>
      </c>
      <c r="BG23" s="6">
        <v>0</v>
      </c>
      <c r="BH23" s="6">
        <v>0</v>
      </c>
      <c r="BI23" s="6">
        <v>0</v>
      </c>
      <c r="BJ23" s="6">
        <v>0</v>
      </c>
      <c r="BK23" s="9">
        <f>SUM(Table1[[#This Row],[35 to 64 years - With one type of health insurance coverage]:[35 to 64 years - With two or more types of health insurance coverage &amp; Other coverage combinations]])/Table1[[#This Row],[Total]]</f>
        <v>0</v>
      </c>
      <c r="BL23" s="9">
        <f>100%-Table1[[#This Row],[35 to 64 years - Penetration Rate]]</f>
        <v>1</v>
      </c>
      <c r="BM23" s="6">
        <v>0</v>
      </c>
      <c r="BN23" s="6">
        <v>3</v>
      </c>
      <c r="BO23" s="6">
        <f>SUM(Table1[[#This Row],[65 years and over - With one type of health insurance coverage]:[65 years and over - With two or more types of health insurance coverage &amp; Other coverage combinations]])</f>
        <v>6</v>
      </c>
      <c r="BP23" s="9">
        <f>(Table1[[#This Row],[65 years and over]]-Table1[[#This Row],[65 years and over - No health insurance coverage]])/Table1[[#This Row],[65 years and over]]</f>
        <v>1</v>
      </c>
      <c r="BQ23" s="9">
        <f>IFERROR(Table1[[#This Row],[Coverage Rate ( 65 years and over )]], 0)</f>
        <v>1</v>
      </c>
      <c r="BR23" s="6">
        <v>0</v>
      </c>
      <c r="BS23" s="6">
        <v>0</v>
      </c>
      <c r="BT23" s="6">
        <v>0</v>
      </c>
      <c r="BU23" s="6">
        <v>0</v>
      </c>
      <c r="BV23" s="6">
        <v>0</v>
      </c>
      <c r="BW23" s="6">
        <v>0</v>
      </c>
      <c r="BX23" s="6">
        <v>3</v>
      </c>
      <c r="BY23" s="6">
        <v>0</v>
      </c>
      <c r="BZ23" s="6">
        <v>0</v>
      </c>
      <c r="CA23" s="6">
        <v>3</v>
      </c>
      <c r="CB23" s="6">
        <v>0</v>
      </c>
      <c r="CC23" s="6">
        <v>0</v>
      </c>
      <c r="CD23" s="6">
        <v>0</v>
      </c>
      <c r="CE23" s="6">
        <v>0</v>
      </c>
      <c r="CF23" s="9">
        <f>SUM(Table1[[#This Row],[65 years and over - With one type of health insurance coverage]:[65 years and over - With two or more types of health insurance coverage &amp; Other coverage combinations]])/Table1[[#This Row],[Total]]</f>
        <v>2</v>
      </c>
      <c r="CG23" s="9">
        <f>100%-Table1[[#This Row],[65 years and over - Penetration Rate]]</f>
        <v>-1</v>
      </c>
      <c r="CH23" s="6">
        <v>0</v>
      </c>
      <c r="CI23" s="6"/>
    </row>
    <row r="24" spans="1:87" x14ac:dyDescent="0.35">
      <c r="A24" t="s">
        <v>29</v>
      </c>
      <c r="B24">
        <v>23</v>
      </c>
      <c r="C24" s="5">
        <v>3964</v>
      </c>
      <c r="D24" s="5">
        <v>998</v>
      </c>
      <c r="E24" s="5">
        <f>SUM(Table1[[#This Row],[Under 18 years - With one type of health insurance coverage]:[Under 18 years - With two or more types of health insurance coverage &amp; Other coverage combinations]])</f>
        <v>1960</v>
      </c>
      <c r="F24" s="6">
        <v>803</v>
      </c>
      <c r="G24" s="6">
        <v>274</v>
      </c>
      <c r="H24" s="6">
        <v>46</v>
      </c>
      <c r="I24" s="6">
        <v>0</v>
      </c>
      <c r="J24" s="6">
        <v>483</v>
      </c>
      <c r="K24" s="6">
        <v>0</v>
      </c>
      <c r="L24" s="6">
        <v>0</v>
      </c>
      <c r="M24" s="6">
        <v>177</v>
      </c>
      <c r="N24" s="6">
        <v>0</v>
      </c>
      <c r="O24" s="6">
        <v>0</v>
      </c>
      <c r="P24" s="6">
        <v>22</v>
      </c>
      <c r="Q24" s="6">
        <v>0</v>
      </c>
      <c r="R24" s="6">
        <v>0</v>
      </c>
      <c r="S24" s="6">
        <v>155</v>
      </c>
      <c r="T24" s="9">
        <f>SUM(Table1[[#This Row],[Under 18 years - With one type of health insurance coverage]:[Under 18 years - With two or more types of health insurance coverage &amp; Other coverage combinations]])/Table1[[#This Row],[Total]]</f>
        <v>0.4944500504540868</v>
      </c>
      <c r="U24" s="9">
        <f>100%-Table1[[#This Row],[Under 18 years - Penetration Rate]]</f>
        <v>0.50554994954591326</v>
      </c>
      <c r="V24" s="6">
        <v>18</v>
      </c>
      <c r="W24" s="6">
        <v>997</v>
      </c>
      <c r="X24" s="6">
        <f>SUM(Table1[[#This Row],[18 to 34 years - With one type of health insurance coverage]:[18 to 34 years - With two or more types of health insurance coverage &amp; Other coverage combinations]])</f>
        <v>1644</v>
      </c>
      <c r="Y24" s="9">
        <f>(Table1[[#This Row],[18 to 34 years]] - Table1[[#This Row],[18 to 34 years - No health insurance coverage]]) / Table1[[#This Row],[18 to 34 years]]</f>
        <v>0.8244734202607823</v>
      </c>
      <c r="Z24" s="9">
        <f>IFERROR(Table1[[#This Row],[Coverage Rate ( 18 to 34 years )]], 0)</f>
        <v>0.8244734202607823</v>
      </c>
      <c r="AA24" s="6">
        <v>773</v>
      </c>
      <c r="AB24" s="6">
        <v>553</v>
      </c>
      <c r="AC24" s="6">
        <v>38</v>
      </c>
      <c r="AD24" s="6">
        <v>0</v>
      </c>
      <c r="AE24" s="6">
        <v>182</v>
      </c>
      <c r="AF24" s="6">
        <v>0</v>
      </c>
      <c r="AG24" s="6">
        <v>0</v>
      </c>
      <c r="AH24" s="6">
        <v>49</v>
      </c>
      <c r="AI24" s="6">
        <v>0</v>
      </c>
      <c r="AJ24" s="6">
        <v>0</v>
      </c>
      <c r="AK24" s="6">
        <v>28</v>
      </c>
      <c r="AL24" s="6">
        <v>0</v>
      </c>
      <c r="AM24" s="6">
        <v>0</v>
      </c>
      <c r="AN24" s="6">
        <v>21</v>
      </c>
      <c r="AO24" s="9">
        <f>SUM(Table1[[#This Row],[18 to 34 years - With one type of health insurance coverage]:[18 to 34 years - With two or more types of health insurance coverage &amp; Other coverage combinations]])/Table1[[#This Row],[Total]]</f>
        <v>0.41473259334006052</v>
      </c>
      <c r="AP24" s="9">
        <f>100%-Table1[[#This Row],[18 to 34 years - Penetration rate]]</f>
        <v>0.58526740665993948</v>
      </c>
      <c r="AQ24" s="6">
        <v>175</v>
      </c>
      <c r="AR24" s="6">
        <v>1437</v>
      </c>
      <c r="AS24" s="6">
        <f>SUM(Table1[[#This Row],[35 to 64 years - With one type of health insurance coverage]:[35 to 64 years - With two or more types of health insurance coverage &amp; Other coverage combinations]])</f>
        <v>2564</v>
      </c>
      <c r="AT24" s="9">
        <f>(Table1[[#This Row],[35 to 64 years]]-Table1[[#This Row],[35 to 64 years - No health insurance coverage]])/Table1[[#This Row],[35 to 64 years]]</f>
        <v>0.89213639526791932</v>
      </c>
      <c r="AU24" s="9">
        <f>IFERROR(Table1[[#This Row],[Coverage Rate ( 35 to 64 years )]], 0)</f>
        <v>0.89213639526791932</v>
      </c>
      <c r="AV24" s="6">
        <v>1158</v>
      </c>
      <c r="AW24" s="6">
        <v>948</v>
      </c>
      <c r="AX24" s="6">
        <v>92</v>
      </c>
      <c r="AY24" s="6">
        <v>15</v>
      </c>
      <c r="AZ24" s="6">
        <v>90</v>
      </c>
      <c r="BA24" s="6">
        <v>0</v>
      </c>
      <c r="BB24" s="6">
        <v>13</v>
      </c>
      <c r="BC24" s="6">
        <v>124</v>
      </c>
      <c r="BD24" s="6">
        <v>38</v>
      </c>
      <c r="BE24" s="6">
        <v>4</v>
      </c>
      <c r="BF24" s="6">
        <v>0</v>
      </c>
      <c r="BG24" s="6">
        <v>6</v>
      </c>
      <c r="BH24" s="6">
        <v>0</v>
      </c>
      <c r="BI24" s="6">
        <v>0</v>
      </c>
      <c r="BJ24" s="6">
        <v>76</v>
      </c>
      <c r="BK24" s="9">
        <f>SUM(Table1[[#This Row],[35 to 64 years - With one type of health insurance coverage]:[35 to 64 years - With two or more types of health insurance coverage &amp; Other coverage combinations]])/Table1[[#This Row],[Total]]</f>
        <v>0.64682139253279514</v>
      </c>
      <c r="BL24" s="9">
        <f>100%-Table1[[#This Row],[35 to 64 years - Penetration Rate]]</f>
        <v>0.35317860746720486</v>
      </c>
      <c r="BM24" s="6">
        <v>155</v>
      </c>
      <c r="BN24" s="6">
        <v>532</v>
      </c>
      <c r="BO24" s="6">
        <f>SUM(Table1[[#This Row],[65 years and over - With one type of health insurance coverage]:[65 years and over - With two or more types of health insurance coverage &amp; Other coverage combinations]])</f>
        <v>1064</v>
      </c>
      <c r="BP24" s="9">
        <f>(Table1[[#This Row],[65 years and over]]-Table1[[#This Row],[65 years and over - No health insurance coverage]])/Table1[[#This Row],[65 years and over]]</f>
        <v>1</v>
      </c>
      <c r="BQ24" s="9">
        <f>IFERROR(Table1[[#This Row],[Coverage Rate ( 65 years and over )]], 0)</f>
        <v>1</v>
      </c>
      <c r="BR24" s="6">
        <v>88</v>
      </c>
      <c r="BS24" s="6">
        <v>20</v>
      </c>
      <c r="BT24" s="6">
        <v>0</v>
      </c>
      <c r="BU24" s="6">
        <v>68</v>
      </c>
      <c r="BV24" s="6">
        <v>0</v>
      </c>
      <c r="BW24" s="6">
        <v>0</v>
      </c>
      <c r="BX24" s="6">
        <v>444</v>
      </c>
      <c r="BY24" s="6">
        <v>0</v>
      </c>
      <c r="BZ24" s="6">
        <v>94</v>
      </c>
      <c r="CA24" s="6">
        <v>174</v>
      </c>
      <c r="CB24" s="6">
        <v>53</v>
      </c>
      <c r="CC24" s="6">
        <v>0</v>
      </c>
      <c r="CD24" s="6">
        <v>23</v>
      </c>
      <c r="CE24" s="6">
        <v>100</v>
      </c>
      <c r="CF24" s="9">
        <f>SUM(Table1[[#This Row],[65 years and over - With one type of health insurance coverage]:[65 years and over - With two or more types of health insurance coverage &amp; Other coverage combinations]])/Table1[[#This Row],[Total]]</f>
        <v>0.2684157416750757</v>
      </c>
      <c r="CG24" s="9">
        <f>100%-Table1[[#This Row],[65 years and over - Penetration Rate]]</f>
        <v>0.73158425832492435</v>
      </c>
      <c r="CH24" s="6">
        <v>0</v>
      </c>
      <c r="CI24" s="6"/>
    </row>
    <row r="25" spans="1:87" x14ac:dyDescent="0.35">
      <c r="A25" t="s">
        <v>30</v>
      </c>
      <c r="B25">
        <v>24</v>
      </c>
      <c r="C25" s="5">
        <v>2225</v>
      </c>
      <c r="D25" s="5">
        <v>420</v>
      </c>
      <c r="E25" s="5">
        <f>SUM(Table1[[#This Row],[Under 18 years - With one type of health insurance coverage]:[Under 18 years - With two or more types of health insurance coverage &amp; Other coverage combinations]])</f>
        <v>840</v>
      </c>
      <c r="F25" s="6">
        <v>304</v>
      </c>
      <c r="G25" s="6">
        <v>59</v>
      </c>
      <c r="H25" s="6">
        <v>7</v>
      </c>
      <c r="I25" s="6">
        <v>0</v>
      </c>
      <c r="J25" s="6">
        <v>238</v>
      </c>
      <c r="K25" s="6">
        <v>0</v>
      </c>
      <c r="L25" s="6">
        <v>0</v>
      </c>
      <c r="M25" s="6">
        <v>116</v>
      </c>
      <c r="N25" s="6">
        <v>10</v>
      </c>
      <c r="O25" s="6">
        <v>0</v>
      </c>
      <c r="P25" s="6">
        <v>0</v>
      </c>
      <c r="Q25" s="6">
        <v>0</v>
      </c>
      <c r="R25" s="6">
        <v>0</v>
      </c>
      <c r="S25" s="6">
        <v>106</v>
      </c>
      <c r="T25" s="9">
        <f>SUM(Table1[[#This Row],[Under 18 years - With one type of health insurance coverage]:[Under 18 years - With two or more types of health insurance coverage &amp; Other coverage combinations]])/Table1[[#This Row],[Total]]</f>
        <v>0.37752808988764047</v>
      </c>
      <c r="U25" s="9">
        <f>100%-Table1[[#This Row],[Under 18 years - Penetration Rate]]</f>
        <v>0.62247191011235947</v>
      </c>
      <c r="V25" s="6">
        <v>0</v>
      </c>
      <c r="W25" s="6">
        <v>512</v>
      </c>
      <c r="X25" s="6">
        <f>SUM(Table1[[#This Row],[18 to 34 years - With one type of health insurance coverage]:[18 to 34 years - With two or more types of health insurance coverage &amp; Other coverage combinations]])</f>
        <v>846</v>
      </c>
      <c r="Y25" s="9">
        <f>(Table1[[#This Row],[18 to 34 years]] - Table1[[#This Row],[18 to 34 years - No health insurance coverage]]) / Table1[[#This Row],[18 to 34 years]]</f>
        <v>0.826171875</v>
      </c>
      <c r="Z25" s="9">
        <f>IFERROR(Table1[[#This Row],[Coverage Rate ( 18 to 34 years )]], 0)</f>
        <v>0.826171875</v>
      </c>
      <c r="AA25" s="6">
        <v>373</v>
      </c>
      <c r="AB25" s="6">
        <v>195</v>
      </c>
      <c r="AC25" s="6">
        <v>31</v>
      </c>
      <c r="AD25" s="6">
        <v>0</v>
      </c>
      <c r="AE25" s="6">
        <v>147</v>
      </c>
      <c r="AF25" s="6">
        <v>0</v>
      </c>
      <c r="AG25" s="6">
        <v>0</v>
      </c>
      <c r="AH25" s="6">
        <v>50</v>
      </c>
      <c r="AI25" s="6">
        <v>0</v>
      </c>
      <c r="AJ25" s="6">
        <v>0</v>
      </c>
      <c r="AK25" s="6">
        <v>0</v>
      </c>
      <c r="AL25" s="6">
        <v>0</v>
      </c>
      <c r="AM25" s="6">
        <v>0</v>
      </c>
      <c r="AN25" s="6">
        <v>50</v>
      </c>
      <c r="AO25" s="9">
        <f>SUM(Table1[[#This Row],[18 to 34 years - With one type of health insurance coverage]:[18 to 34 years - With two or more types of health insurance coverage &amp; Other coverage combinations]])/Table1[[#This Row],[Total]]</f>
        <v>0.3802247191011236</v>
      </c>
      <c r="AP25" s="9">
        <f>100%-Table1[[#This Row],[18 to 34 years - Penetration rate]]</f>
        <v>0.61977528089887635</v>
      </c>
      <c r="AQ25" s="6">
        <v>89</v>
      </c>
      <c r="AR25" s="6">
        <v>744</v>
      </c>
      <c r="AS25" s="6">
        <f>SUM(Table1[[#This Row],[35 to 64 years - With one type of health insurance coverage]:[35 to 64 years - With two or more types of health insurance coverage &amp; Other coverage combinations]])</f>
        <v>1082</v>
      </c>
      <c r="AT25" s="9">
        <f>(Table1[[#This Row],[35 to 64 years]]-Table1[[#This Row],[35 to 64 years - No health insurance coverage]])/Table1[[#This Row],[35 to 64 years]]</f>
        <v>0.72715053763440862</v>
      </c>
      <c r="AU25" s="9">
        <f>IFERROR(Table1[[#This Row],[Coverage Rate ( 35 to 64 years )]], 0)</f>
        <v>0.72715053763440862</v>
      </c>
      <c r="AV25" s="6">
        <v>367</v>
      </c>
      <c r="AW25" s="6">
        <v>217</v>
      </c>
      <c r="AX25" s="6">
        <v>19</v>
      </c>
      <c r="AY25" s="6">
        <v>52</v>
      </c>
      <c r="AZ25" s="6">
        <v>79</v>
      </c>
      <c r="BA25" s="6">
        <v>0</v>
      </c>
      <c r="BB25" s="6">
        <v>0</v>
      </c>
      <c r="BC25" s="6">
        <v>174</v>
      </c>
      <c r="BD25" s="6">
        <v>9</v>
      </c>
      <c r="BE25" s="6">
        <v>10</v>
      </c>
      <c r="BF25" s="6">
        <v>8</v>
      </c>
      <c r="BG25" s="6">
        <v>87</v>
      </c>
      <c r="BH25" s="6">
        <v>0</v>
      </c>
      <c r="BI25" s="6">
        <v>6</v>
      </c>
      <c r="BJ25" s="6">
        <v>54</v>
      </c>
      <c r="BK25" s="9">
        <f>SUM(Table1[[#This Row],[35 to 64 years - With one type of health insurance coverage]:[35 to 64 years - With two or more types of health insurance coverage &amp; Other coverage combinations]])/Table1[[#This Row],[Total]]</f>
        <v>0.48629213483146067</v>
      </c>
      <c r="BL25" s="9">
        <f>100%-Table1[[#This Row],[35 to 64 years - Penetration Rate]]</f>
        <v>0.51370786516853939</v>
      </c>
      <c r="BM25" s="6">
        <v>203</v>
      </c>
      <c r="BN25" s="6">
        <v>549</v>
      </c>
      <c r="BO25" s="6">
        <f>SUM(Table1[[#This Row],[65 years and over - With one type of health insurance coverage]:[65 years and over - With two or more types of health insurance coverage &amp; Other coverage combinations]])</f>
        <v>1098</v>
      </c>
      <c r="BP25" s="9">
        <f>(Table1[[#This Row],[65 years and over]]-Table1[[#This Row],[65 years and over - No health insurance coverage]])/Table1[[#This Row],[65 years and over]]</f>
        <v>1</v>
      </c>
      <c r="BQ25" s="9">
        <f>IFERROR(Table1[[#This Row],[Coverage Rate ( 65 years and over )]], 0)</f>
        <v>1</v>
      </c>
      <c r="BR25" s="6">
        <v>208</v>
      </c>
      <c r="BS25" s="6">
        <v>30</v>
      </c>
      <c r="BT25" s="6">
        <v>0</v>
      </c>
      <c r="BU25" s="6">
        <v>178</v>
      </c>
      <c r="BV25" s="6">
        <v>0</v>
      </c>
      <c r="BW25" s="6">
        <v>0</v>
      </c>
      <c r="BX25" s="6">
        <v>341</v>
      </c>
      <c r="BY25" s="6">
        <v>0</v>
      </c>
      <c r="BZ25" s="6">
        <v>75</v>
      </c>
      <c r="CA25" s="6">
        <v>75</v>
      </c>
      <c r="CB25" s="6">
        <v>55</v>
      </c>
      <c r="CC25" s="6">
        <v>0</v>
      </c>
      <c r="CD25" s="6">
        <v>17</v>
      </c>
      <c r="CE25" s="6">
        <v>119</v>
      </c>
      <c r="CF25" s="9">
        <f>SUM(Table1[[#This Row],[65 years and over - With one type of health insurance coverage]:[65 years and over - With two or more types of health insurance coverage &amp; Other coverage combinations]])/Table1[[#This Row],[Total]]</f>
        <v>0.49348314606741572</v>
      </c>
      <c r="CG25" s="9">
        <f>100%-Table1[[#This Row],[65 years and over - Penetration Rate]]</f>
        <v>0.50651685393258428</v>
      </c>
      <c r="CH25" s="6">
        <v>0</v>
      </c>
      <c r="CI25" s="6"/>
    </row>
    <row r="26" spans="1:87" x14ac:dyDescent="0.35">
      <c r="A26" t="s">
        <v>31</v>
      </c>
      <c r="B26">
        <v>25</v>
      </c>
      <c r="C26" s="5">
        <v>2522</v>
      </c>
      <c r="D26" s="5">
        <v>359</v>
      </c>
      <c r="E26" s="5">
        <f>SUM(Table1[[#This Row],[Under 18 years - With one type of health insurance coverage]:[Under 18 years - With two or more types of health insurance coverage &amp; Other coverage combinations]])</f>
        <v>718</v>
      </c>
      <c r="F26" s="6">
        <v>346</v>
      </c>
      <c r="G26" s="6">
        <v>188</v>
      </c>
      <c r="H26" s="6">
        <v>11</v>
      </c>
      <c r="I26" s="6">
        <v>0</v>
      </c>
      <c r="J26" s="6">
        <v>147</v>
      </c>
      <c r="K26" s="6">
        <v>0</v>
      </c>
      <c r="L26" s="6">
        <v>0</v>
      </c>
      <c r="M26" s="6">
        <v>13</v>
      </c>
      <c r="N26" s="6">
        <v>13</v>
      </c>
      <c r="O26" s="6">
        <v>0</v>
      </c>
      <c r="P26" s="6">
        <v>0</v>
      </c>
      <c r="Q26" s="6">
        <v>0</v>
      </c>
      <c r="R26" s="6">
        <v>0</v>
      </c>
      <c r="S26" s="6">
        <v>0</v>
      </c>
      <c r="T26" s="9">
        <f>SUM(Table1[[#This Row],[Under 18 years - With one type of health insurance coverage]:[Under 18 years - With two or more types of health insurance coverage &amp; Other coverage combinations]])/Table1[[#This Row],[Total]]</f>
        <v>0.28469468675654241</v>
      </c>
      <c r="U26" s="9">
        <f>100%-Table1[[#This Row],[Under 18 years - Penetration Rate]]</f>
        <v>0.71530531324345759</v>
      </c>
      <c r="V26" s="6">
        <v>0</v>
      </c>
      <c r="W26" s="6">
        <v>742</v>
      </c>
      <c r="X26" s="6">
        <f>SUM(Table1[[#This Row],[18 to 34 years - With one type of health insurance coverage]:[18 to 34 years - With two or more types of health insurance coverage &amp; Other coverage combinations]])</f>
        <v>1386</v>
      </c>
      <c r="Y26" s="9">
        <f>(Table1[[#This Row],[18 to 34 years]] - Table1[[#This Row],[18 to 34 years - No health insurance coverage]]) / Table1[[#This Row],[18 to 34 years]]</f>
        <v>0.93396226415094341</v>
      </c>
      <c r="Z26" s="9">
        <f>IFERROR(Table1[[#This Row],[Coverage Rate ( 18 to 34 years )]], 0)</f>
        <v>0.93396226415094341</v>
      </c>
      <c r="AA26" s="6">
        <v>629</v>
      </c>
      <c r="AB26" s="6">
        <v>474</v>
      </c>
      <c r="AC26" s="6">
        <v>77</v>
      </c>
      <c r="AD26" s="6">
        <v>0</v>
      </c>
      <c r="AE26" s="6">
        <v>78</v>
      </c>
      <c r="AF26" s="6">
        <v>0</v>
      </c>
      <c r="AG26" s="6">
        <v>0</v>
      </c>
      <c r="AH26" s="6">
        <v>64</v>
      </c>
      <c r="AI26" s="6">
        <v>36</v>
      </c>
      <c r="AJ26" s="6">
        <v>0</v>
      </c>
      <c r="AK26" s="6">
        <v>0</v>
      </c>
      <c r="AL26" s="6">
        <v>0</v>
      </c>
      <c r="AM26" s="6">
        <v>0</v>
      </c>
      <c r="AN26" s="6">
        <v>28</v>
      </c>
      <c r="AO26" s="9">
        <f>SUM(Table1[[#This Row],[18 to 34 years - With one type of health insurance coverage]:[18 to 34 years - With two or more types of health insurance coverage &amp; Other coverage combinations]])/Table1[[#This Row],[Total]]</f>
        <v>0.54956383822363208</v>
      </c>
      <c r="AP26" s="9">
        <f>100%-Table1[[#This Row],[18 to 34 years - Penetration rate]]</f>
        <v>0.45043616177636792</v>
      </c>
      <c r="AQ26" s="6">
        <v>49</v>
      </c>
      <c r="AR26" s="6">
        <v>1037</v>
      </c>
      <c r="AS26" s="6">
        <f>SUM(Table1[[#This Row],[35 to 64 years - With one type of health insurance coverage]:[35 to 64 years - With two or more types of health insurance coverage &amp; Other coverage combinations]])</f>
        <v>1854</v>
      </c>
      <c r="AT26" s="9">
        <f>(Table1[[#This Row],[35 to 64 years]]-Table1[[#This Row],[35 to 64 years - No health insurance coverage]])/Table1[[#This Row],[35 to 64 years]]</f>
        <v>0.8939247830279653</v>
      </c>
      <c r="AU26" s="9">
        <f>IFERROR(Table1[[#This Row],[Coverage Rate ( 35 to 64 years )]], 0)</f>
        <v>0.8939247830279653</v>
      </c>
      <c r="AV26" s="6">
        <v>853</v>
      </c>
      <c r="AW26" s="6">
        <v>672</v>
      </c>
      <c r="AX26" s="6">
        <v>115</v>
      </c>
      <c r="AY26" s="6">
        <v>8</v>
      </c>
      <c r="AZ26" s="6">
        <v>49</v>
      </c>
      <c r="BA26" s="6">
        <v>0</v>
      </c>
      <c r="BB26" s="6">
        <v>9</v>
      </c>
      <c r="BC26" s="6">
        <v>74</v>
      </c>
      <c r="BD26" s="6">
        <v>16</v>
      </c>
      <c r="BE26" s="6">
        <v>4</v>
      </c>
      <c r="BF26" s="6">
        <v>0</v>
      </c>
      <c r="BG26" s="6">
        <v>23</v>
      </c>
      <c r="BH26" s="6">
        <v>0</v>
      </c>
      <c r="BI26" s="6">
        <v>0</v>
      </c>
      <c r="BJ26" s="6">
        <v>31</v>
      </c>
      <c r="BK26" s="9">
        <f>SUM(Table1[[#This Row],[35 to 64 years - With one type of health insurance coverage]:[35 to 64 years - With two or more types of health insurance coverage &amp; Other coverage combinations]])/Table1[[#This Row],[Total]]</f>
        <v>0.73513084853291044</v>
      </c>
      <c r="BL26" s="9">
        <f>100%-Table1[[#This Row],[35 to 64 years - Penetration Rate]]</f>
        <v>0.26486915146708956</v>
      </c>
      <c r="BM26" s="6">
        <v>110</v>
      </c>
      <c r="BN26" s="6">
        <v>384</v>
      </c>
      <c r="BO26" s="6">
        <f>SUM(Table1[[#This Row],[65 years and over - With one type of health insurance coverage]:[65 years and over - With two or more types of health insurance coverage &amp; Other coverage combinations]])</f>
        <v>768</v>
      </c>
      <c r="BP26" s="9">
        <f>(Table1[[#This Row],[65 years and over]]-Table1[[#This Row],[65 years and over - No health insurance coverage]])/Table1[[#This Row],[65 years and over]]</f>
        <v>1</v>
      </c>
      <c r="BQ26" s="9">
        <f>IFERROR(Table1[[#This Row],[Coverage Rate ( 65 years and over )]], 0)</f>
        <v>1</v>
      </c>
      <c r="BR26" s="6">
        <v>75</v>
      </c>
      <c r="BS26" s="6">
        <v>39</v>
      </c>
      <c r="BT26" s="6">
        <v>0</v>
      </c>
      <c r="BU26" s="6">
        <v>36</v>
      </c>
      <c r="BV26" s="6">
        <v>0</v>
      </c>
      <c r="BW26" s="6">
        <v>0</v>
      </c>
      <c r="BX26" s="6">
        <v>309</v>
      </c>
      <c r="BY26" s="6">
        <v>0</v>
      </c>
      <c r="BZ26" s="6">
        <v>98</v>
      </c>
      <c r="CA26" s="6">
        <v>106</v>
      </c>
      <c r="CB26" s="6">
        <v>13</v>
      </c>
      <c r="CC26" s="6">
        <v>0</v>
      </c>
      <c r="CD26" s="6">
        <v>20</v>
      </c>
      <c r="CE26" s="6">
        <v>72</v>
      </c>
      <c r="CF26" s="9">
        <f>SUM(Table1[[#This Row],[65 years and over - With one type of health insurance coverage]:[65 years and over - With two or more types of health insurance coverage &amp; Other coverage combinations]])/Table1[[#This Row],[Total]]</f>
        <v>0.30452022204599521</v>
      </c>
      <c r="CG26" s="9">
        <f>100%-Table1[[#This Row],[65 years and over - Penetration Rate]]</f>
        <v>0.69547977795400473</v>
      </c>
      <c r="CH26" s="6">
        <v>0</v>
      </c>
      <c r="CI26" s="6"/>
    </row>
    <row r="27" spans="1:87" x14ac:dyDescent="0.35">
      <c r="A27" t="s">
        <v>32</v>
      </c>
      <c r="B27">
        <v>26</v>
      </c>
      <c r="C27" s="5">
        <v>2095</v>
      </c>
      <c r="D27" s="5">
        <v>144</v>
      </c>
      <c r="E27" s="5">
        <f>SUM(Table1[[#This Row],[Under 18 years - With one type of health insurance coverage]:[Under 18 years - With two or more types of health insurance coverage &amp; Other coverage combinations]])</f>
        <v>246</v>
      </c>
      <c r="F27" s="6">
        <v>114</v>
      </c>
      <c r="G27" s="6">
        <v>65</v>
      </c>
      <c r="H27" s="6">
        <v>10</v>
      </c>
      <c r="I27" s="6">
        <v>0</v>
      </c>
      <c r="J27" s="6">
        <v>39</v>
      </c>
      <c r="K27" s="6">
        <v>0</v>
      </c>
      <c r="L27" s="6">
        <v>0</v>
      </c>
      <c r="M27" s="6">
        <v>9</v>
      </c>
      <c r="N27" s="6">
        <v>0</v>
      </c>
      <c r="O27" s="6">
        <v>0</v>
      </c>
      <c r="P27" s="6">
        <v>0</v>
      </c>
      <c r="Q27" s="6">
        <v>0</v>
      </c>
      <c r="R27" s="6">
        <v>0</v>
      </c>
      <c r="S27" s="6">
        <v>9</v>
      </c>
      <c r="T27" s="9">
        <f>SUM(Table1[[#This Row],[Under 18 years - With one type of health insurance coverage]:[Under 18 years - With two or more types of health insurance coverage &amp; Other coverage combinations]])/Table1[[#This Row],[Total]]</f>
        <v>0.11742243436754177</v>
      </c>
      <c r="U27" s="9">
        <f>100%-Table1[[#This Row],[Under 18 years - Penetration Rate]]</f>
        <v>0.88257756563245826</v>
      </c>
      <c r="V27" s="6">
        <v>21</v>
      </c>
      <c r="W27" s="6">
        <v>642</v>
      </c>
      <c r="X27" s="6">
        <f>SUM(Table1[[#This Row],[18 to 34 years - With one type of health insurance coverage]:[18 to 34 years - With two or more types of health insurance coverage &amp; Other coverage combinations]])</f>
        <v>994</v>
      </c>
      <c r="Y27" s="9">
        <f>(Table1[[#This Row],[18 to 34 years]] - Table1[[#This Row],[18 to 34 years - No health insurance coverage]]) / Table1[[#This Row],[18 to 34 years]]</f>
        <v>0.77414330218068539</v>
      </c>
      <c r="Z27" s="9">
        <f>IFERROR(Table1[[#This Row],[Coverage Rate ( 18 to 34 years )]], 0)</f>
        <v>0.77414330218068539</v>
      </c>
      <c r="AA27" s="6">
        <v>441</v>
      </c>
      <c r="AB27" s="6">
        <v>283</v>
      </c>
      <c r="AC27" s="6">
        <v>112</v>
      </c>
      <c r="AD27" s="6">
        <v>0</v>
      </c>
      <c r="AE27" s="6">
        <v>46</v>
      </c>
      <c r="AF27" s="6">
        <v>0</v>
      </c>
      <c r="AG27" s="6">
        <v>0</v>
      </c>
      <c r="AH27" s="6">
        <v>56</v>
      </c>
      <c r="AI27" s="6">
        <v>42</v>
      </c>
      <c r="AJ27" s="6">
        <v>0</v>
      </c>
      <c r="AK27" s="6">
        <v>0</v>
      </c>
      <c r="AL27" s="6">
        <v>0</v>
      </c>
      <c r="AM27" s="6">
        <v>0</v>
      </c>
      <c r="AN27" s="6">
        <v>14</v>
      </c>
      <c r="AO27" s="9">
        <f>SUM(Table1[[#This Row],[18 to 34 years - With one type of health insurance coverage]:[18 to 34 years - With two or more types of health insurance coverage &amp; Other coverage combinations]])/Table1[[#This Row],[Total]]</f>
        <v>0.47446300715990453</v>
      </c>
      <c r="AP27" s="9">
        <f>100%-Table1[[#This Row],[18 to 34 years - Penetration rate]]</f>
        <v>0.52553699284009547</v>
      </c>
      <c r="AQ27" s="6">
        <v>145</v>
      </c>
      <c r="AR27" s="6">
        <v>1009</v>
      </c>
      <c r="AS27" s="6">
        <f>SUM(Table1[[#This Row],[35 to 64 years - With one type of health insurance coverage]:[35 to 64 years - With two or more types of health insurance coverage &amp; Other coverage combinations]])</f>
        <v>1756</v>
      </c>
      <c r="AT27" s="9">
        <f>(Table1[[#This Row],[35 to 64 years]]-Table1[[#This Row],[35 to 64 years - No health insurance coverage]])/Table1[[#This Row],[35 to 64 years]]</f>
        <v>0.87016848364717547</v>
      </c>
      <c r="AU27" s="9">
        <f>IFERROR(Table1[[#This Row],[Coverage Rate ( 35 to 64 years )]], 0)</f>
        <v>0.87016848364717547</v>
      </c>
      <c r="AV27" s="6">
        <v>686</v>
      </c>
      <c r="AW27" s="6">
        <v>451</v>
      </c>
      <c r="AX27" s="6">
        <v>46</v>
      </c>
      <c r="AY27" s="6">
        <v>21</v>
      </c>
      <c r="AZ27" s="6">
        <v>157</v>
      </c>
      <c r="BA27" s="6">
        <v>0</v>
      </c>
      <c r="BB27" s="6">
        <v>11</v>
      </c>
      <c r="BC27" s="6">
        <v>192</v>
      </c>
      <c r="BD27" s="6">
        <v>55</v>
      </c>
      <c r="BE27" s="6">
        <v>0</v>
      </c>
      <c r="BF27" s="6">
        <v>21</v>
      </c>
      <c r="BG27" s="6">
        <v>42</v>
      </c>
      <c r="BH27" s="6">
        <v>0</v>
      </c>
      <c r="BI27" s="6">
        <v>42</v>
      </c>
      <c r="BJ27" s="6">
        <v>32</v>
      </c>
      <c r="BK27" s="9">
        <f>SUM(Table1[[#This Row],[35 to 64 years - With one type of health insurance coverage]:[35 to 64 years - With two or more types of health insurance coverage &amp; Other coverage combinations]])/Table1[[#This Row],[Total]]</f>
        <v>0.83818615751789971</v>
      </c>
      <c r="BL27" s="9">
        <f>100%-Table1[[#This Row],[35 to 64 years - Penetration Rate]]</f>
        <v>0.16181384248210029</v>
      </c>
      <c r="BM27" s="6">
        <v>131</v>
      </c>
      <c r="BN27" s="6">
        <v>300</v>
      </c>
      <c r="BO27" s="6">
        <f>SUM(Table1[[#This Row],[65 years and over - With one type of health insurance coverage]:[65 years and over - With two or more types of health insurance coverage &amp; Other coverage combinations]])</f>
        <v>600</v>
      </c>
      <c r="BP27" s="9">
        <f>(Table1[[#This Row],[65 years and over]]-Table1[[#This Row],[65 years and over - No health insurance coverage]])/Table1[[#This Row],[65 years and over]]</f>
        <v>1</v>
      </c>
      <c r="BQ27" s="9">
        <f>IFERROR(Table1[[#This Row],[Coverage Rate ( 65 years and over )]], 0)</f>
        <v>1</v>
      </c>
      <c r="BR27" s="6">
        <v>58</v>
      </c>
      <c r="BS27" s="6">
        <v>0</v>
      </c>
      <c r="BT27" s="6">
        <v>0</v>
      </c>
      <c r="BU27" s="6">
        <v>58</v>
      </c>
      <c r="BV27" s="6">
        <v>0</v>
      </c>
      <c r="BW27" s="6">
        <v>0</v>
      </c>
      <c r="BX27" s="6">
        <v>242</v>
      </c>
      <c r="BY27" s="6">
        <v>0</v>
      </c>
      <c r="BZ27" s="6">
        <v>43</v>
      </c>
      <c r="CA27" s="6">
        <v>66</v>
      </c>
      <c r="CB27" s="6">
        <v>52</v>
      </c>
      <c r="CC27" s="6">
        <v>0</v>
      </c>
      <c r="CD27" s="6">
        <v>8</v>
      </c>
      <c r="CE27" s="6">
        <v>73</v>
      </c>
      <c r="CF27" s="9">
        <f>SUM(Table1[[#This Row],[65 years and over - With one type of health insurance coverage]:[65 years and over - With two or more types of health insurance coverage &amp; Other coverage combinations]])/Table1[[#This Row],[Total]]</f>
        <v>0.28639618138424822</v>
      </c>
      <c r="CG27" s="9">
        <f>100%-Table1[[#This Row],[65 years and over - Penetration Rate]]</f>
        <v>0.71360381861575184</v>
      </c>
      <c r="CH27" s="6">
        <v>0</v>
      </c>
      <c r="CI27" s="6"/>
    </row>
    <row r="28" spans="1:87" x14ac:dyDescent="0.35">
      <c r="A28" t="s">
        <v>33</v>
      </c>
      <c r="B28">
        <v>27</v>
      </c>
      <c r="C28" s="5">
        <v>610</v>
      </c>
      <c r="D28" s="5">
        <v>89</v>
      </c>
      <c r="E28" s="5">
        <f>SUM(Table1[[#This Row],[Under 18 years - With one type of health insurance coverage]:[Under 18 years - With two or more types of health insurance coverage &amp; Other coverage combinations]])</f>
        <v>178</v>
      </c>
      <c r="F28" s="6">
        <v>84</v>
      </c>
      <c r="G28" s="6">
        <v>62</v>
      </c>
      <c r="H28" s="6">
        <v>0</v>
      </c>
      <c r="I28" s="6">
        <v>0</v>
      </c>
      <c r="J28" s="6">
        <v>22</v>
      </c>
      <c r="K28" s="6">
        <v>0</v>
      </c>
      <c r="L28" s="6">
        <v>0</v>
      </c>
      <c r="M28" s="6">
        <v>5</v>
      </c>
      <c r="N28" s="6">
        <v>0</v>
      </c>
      <c r="O28" s="6">
        <v>0</v>
      </c>
      <c r="P28" s="6">
        <v>0</v>
      </c>
      <c r="Q28" s="6">
        <v>0</v>
      </c>
      <c r="R28" s="6">
        <v>0</v>
      </c>
      <c r="S28" s="6">
        <v>5</v>
      </c>
      <c r="T28" s="9">
        <f>SUM(Table1[[#This Row],[Under 18 years - With one type of health insurance coverage]:[Under 18 years - With two or more types of health insurance coverage &amp; Other coverage combinations]])/Table1[[#This Row],[Total]]</f>
        <v>0.29180327868852457</v>
      </c>
      <c r="U28" s="9">
        <f>100%-Table1[[#This Row],[Under 18 years - Penetration Rate]]</f>
        <v>0.70819672131147549</v>
      </c>
      <c r="V28" s="6">
        <v>0</v>
      </c>
      <c r="W28" s="6">
        <v>236</v>
      </c>
      <c r="X28" s="6">
        <f>SUM(Table1[[#This Row],[18 to 34 years - With one type of health insurance coverage]:[18 to 34 years - With two or more types of health insurance coverage &amp; Other coverage combinations]])</f>
        <v>424</v>
      </c>
      <c r="Y28" s="9">
        <f>(Table1[[#This Row],[18 to 34 years]] - Table1[[#This Row],[18 to 34 years - No health insurance coverage]]) / Table1[[#This Row],[18 to 34 years]]</f>
        <v>0.89830508474576276</v>
      </c>
      <c r="Z28" s="9">
        <f>IFERROR(Table1[[#This Row],[Coverage Rate ( 18 to 34 years )]], 0)</f>
        <v>0.89830508474576276</v>
      </c>
      <c r="AA28" s="6">
        <v>208</v>
      </c>
      <c r="AB28" s="6">
        <v>176</v>
      </c>
      <c r="AC28" s="6">
        <v>21</v>
      </c>
      <c r="AD28" s="6">
        <v>0</v>
      </c>
      <c r="AE28" s="6">
        <v>11</v>
      </c>
      <c r="AF28" s="6">
        <v>0</v>
      </c>
      <c r="AG28" s="6">
        <v>0</v>
      </c>
      <c r="AH28" s="6">
        <v>4</v>
      </c>
      <c r="AI28" s="6">
        <v>4</v>
      </c>
      <c r="AJ28" s="6">
        <v>0</v>
      </c>
      <c r="AK28" s="6">
        <v>0</v>
      </c>
      <c r="AL28" s="6">
        <v>0</v>
      </c>
      <c r="AM28" s="6">
        <v>0</v>
      </c>
      <c r="AN28" s="6">
        <v>0</v>
      </c>
      <c r="AO28" s="9">
        <f>SUM(Table1[[#This Row],[18 to 34 years - With one type of health insurance coverage]:[18 to 34 years - With two or more types of health insurance coverage &amp; Other coverage combinations]])/Table1[[#This Row],[Total]]</f>
        <v>0.69508196721311477</v>
      </c>
      <c r="AP28" s="9">
        <f>100%-Table1[[#This Row],[18 to 34 years - Penetration rate]]</f>
        <v>0.30491803278688523</v>
      </c>
      <c r="AQ28" s="6">
        <v>24</v>
      </c>
      <c r="AR28" s="6">
        <v>229</v>
      </c>
      <c r="AS28" s="6">
        <f>SUM(Table1[[#This Row],[35 to 64 years - With one type of health insurance coverage]:[35 to 64 years - With two or more types of health insurance coverage &amp; Other coverage combinations]])</f>
        <v>448</v>
      </c>
      <c r="AT28" s="9">
        <f>(Table1[[#This Row],[35 to 64 years]]-Table1[[#This Row],[35 to 64 years - No health insurance coverage]])/Table1[[#This Row],[35 to 64 years]]</f>
        <v>0.97816593886462877</v>
      </c>
      <c r="AU28" s="9">
        <f>IFERROR(Table1[[#This Row],[Coverage Rate ( 35 to 64 years )]], 0)</f>
        <v>0.97816593886462877</v>
      </c>
      <c r="AV28" s="6">
        <v>191</v>
      </c>
      <c r="AW28" s="6">
        <v>140</v>
      </c>
      <c r="AX28" s="6">
        <v>31</v>
      </c>
      <c r="AY28" s="6">
        <v>8</v>
      </c>
      <c r="AZ28" s="6">
        <v>12</v>
      </c>
      <c r="BA28" s="6">
        <v>0</v>
      </c>
      <c r="BB28" s="6">
        <v>0</v>
      </c>
      <c r="BC28" s="6">
        <v>33</v>
      </c>
      <c r="BD28" s="6">
        <v>12</v>
      </c>
      <c r="BE28" s="6">
        <v>0</v>
      </c>
      <c r="BF28" s="6">
        <v>0</v>
      </c>
      <c r="BG28" s="6">
        <v>14</v>
      </c>
      <c r="BH28" s="6">
        <v>0</v>
      </c>
      <c r="BI28" s="6">
        <v>7</v>
      </c>
      <c r="BJ28" s="6">
        <v>0</v>
      </c>
      <c r="BK28" s="9">
        <f>SUM(Table1[[#This Row],[35 to 64 years - With one type of health insurance coverage]:[35 to 64 years - With two or more types of health insurance coverage &amp; Other coverage combinations]])/Table1[[#This Row],[Total]]</f>
        <v>0.73442622950819669</v>
      </c>
      <c r="BL28" s="9">
        <f>100%-Table1[[#This Row],[35 to 64 years - Penetration Rate]]</f>
        <v>0.26557377049180331</v>
      </c>
      <c r="BM28" s="6">
        <v>5</v>
      </c>
      <c r="BN28" s="6">
        <v>56</v>
      </c>
      <c r="BO28" s="6">
        <f>SUM(Table1[[#This Row],[65 years and over - With one type of health insurance coverage]:[65 years and over - With two or more types of health insurance coverage &amp; Other coverage combinations]])</f>
        <v>112</v>
      </c>
      <c r="BP28" s="9">
        <f>(Table1[[#This Row],[65 years and over]]-Table1[[#This Row],[65 years and over - No health insurance coverage]])/Table1[[#This Row],[65 years and over]]</f>
        <v>1</v>
      </c>
      <c r="BQ28" s="9">
        <f>IFERROR(Table1[[#This Row],[Coverage Rate ( 65 years and over )]], 0)</f>
        <v>1</v>
      </c>
      <c r="BR28" s="6">
        <v>16</v>
      </c>
      <c r="BS28" s="6">
        <v>7</v>
      </c>
      <c r="BT28" s="6">
        <v>0</v>
      </c>
      <c r="BU28" s="6">
        <v>9</v>
      </c>
      <c r="BV28" s="6">
        <v>0</v>
      </c>
      <c r="BW28" s="6">
        <v>0</v>
      </c>
      <c r="BX28" s="6">
        <v>40</v>
      </c>
      <c r="BY28" s="6">
        <v>0</v>
      </c>
      <c r="BZ28" s="6">
        <v>20</v>
      </c>
      <c r="CA28" s="6">
        <v>12</v>
      </c>
      <c r="CB28" s="6">
        <v>0</v>
      </c>
      <c r="CC28" s="6">
        <v>0</v>
      </c>
      <c r="CD28" s="6">
        <v>0</v>
      </c>
      <c r="CE28" s="6">
        <v>8</v>
      </c>
      <c r="CF28" s="9">
        <f>SUM(Table1[[#This Row],[65 years and over - With one type of health insurance coverage]:[65 years and over - With two or more types of health insurance coverage &amp; Other coverage combinations]])/Table1[[#This Row],[Total]]</f>
        <v>0.18360655737704917</v>
      </c>
      <c r="CG28" s="9">
        <f>100%-Table1[[#This Row],[65 years and over - Penetration Rate]]</f>
        <v>0.81639344262295088</v>
      </c>
      <c r="CH28" s="6">
        <v>0</v>
      </c>
      <c r="CI28" s="6"/>
    </row>
    <row r="29" spans="1:87" x14ac:dyDescent="0.35">
      <c r="A29" t="s">
        <v>34</v>
      </c>
      <c r="B29">
        <v>28</v>
      </c>
      <c r="C29" s="5">
        <v>2859</v>
      </c>
      <c r="D29" s="5">
        <v>742</v>
      </c>
      <c r="E29" s="5">
        <f>SUM(Table1[[#This Row],[Under 18 years - With one type of health insurance coverage]:[Under 18 years - With two or more types of health insurance coverage &amp; Other coverage combinations]])</f>
        <v>1358</v>
      </c>
      <c r="F29" s="6">
        <v>625</v>
      </c>
      <c r="G29" s="6">
        <v>76</v>
      </c>
      <c r="H29" s="6">
        <v>0</v>
      </c>
      <c r="I29" s="6">
        <v>0</v>
      </c>
      <c r="J29" s="6">
        <v>549</v>
      </c>
      <c r="K29" s="6">
        <v>0</v>
      </c>
      <c r="L29" s="6">
        <v>0</v>
      </c>
      <c r="M29" s="6">
        <v>54</v>
      </c>
      <c r="N29" s="6">
        <v>0</v>
      </c>
      <c r="O29" s="6">
        <v>0</v>
      </c>
      <c r="P29" s="6">
        <v>0</v>
      </c>
      <c r="Q29" s="6">
        <v>0</v>
      </c>
      <c r="R29" s="6">
        <v>0</v>
      </c>
      <c r="S29" s="6">
        <v>54</v>
      </c>
      <c r="T29" s="9">
        <f>SUM(Table1[[#This Row],[Under 18 years - With one type of health insurance coverage]:[Under 18 years - With two or more types of health insurance coverage &amp; Other coverage combinations]])/Table1[[#This Row],[Total]]</f>
        <v>0.47499125568380551</v>
      </c>
      <c r="U29" s="9">
        <f>100%-Table1[[#This Row],[Under 18 years - Penetration Rate]]</f>
        <v>0.52500874431619449</v>
      </c>
      <c r="V29" s="6">
        <v>63</v>
      </c>
      <c r="W29" s="6">
        <v>624</v>
      </c>
      <c r="X29" s="6">
        <f>SUM(Table1[[#This Row],[18 to 34 years - With one type of health insurance coverage]:[18 to 34 years - With two or more types of health insurance coverage &amp; Other coverage combinations]])</f>
        <v>982</v>
      </c>
      <c r="Y29" s="9">
        <f>(Table1[[#This Row],[18 to 34 years]] - Table1[[#This Row],[18 to 34 years - No health insurance coverage]]) / Table1[[#This Row],[18 to 34 years]]</f>
        <v>0.78685897435897434</v>
      </c>
      <c r="Z29" s="9">
        <f>IFERROR(Table1[[#This Row],[Coverage Rate ( 18 to 34 years )]], 0)</f>
        <v>0.78685897435897434</v>
      </c>
      <c r="AA29" s="6">
        <v>461</v>
      </c>
      <c r="AB29" s="6">
        <v>170</v>
      </c>
      <c r="AC29" s="6">
        <v>0</v>
      </c>
      <c r="AD29" s="6">
        <v>0</v>
      </c>
      <c r="AE29" s="6">
        <v>291</v>
      </c>
      <c r="AF29" s="6">
        <v>0</v>
      </c>
      <c r="AG29" s="6">
        <v>0</v>
      </c>
      <c r="AH29" s="6">
        <v>30</v>
      </c>
      <c r="AI29" s="6">
        <v>0</v>
      </c>
      <c r="AJ29" s="6">
        <v>0</v>
      </c>
      <c r="AK29" s="6">
        <v>0</v>
      </c>
      <c r="AL29" s="6">
        <v>0</v>
      </c>
      <c r="AM29" s="6">
        <v>0</v>
      </c>
      <c r="AN29" s="6">
        <v>30</v>
      </c>
      <c r="AO29" s="9">
        <f>SUM(Table1[[#This Row],[18 to 34 years - With one type of health insurance coverage]:[18 to 34 years - With two or more types of health insurance coverage &amp; Other coverage combinations]])/Table1[[#This Row],[Total]]</f>
        <v>0.34347674011892271</v>
      </c>
      <c r="AP29" s="9">
        <f>100%-Table1[[#This Row],[18 to 34 years - Penetration rate]]</f>
        <v>0.65652325988107729</v>
      </c>
      <c r="AQ29" s="6">
        <v>133</v>
      </c>
      <c r="AR29" s="6">
        <v>1102</v>
      </c>
      <c r="AS29" s="6">
        <f>SUM(Table1[[#This Row],[35 to 64 years - With one type of health insurance coverage]:[35 to 64 years - With two or more types of health insurance coverage &amp; Other coverage combinations]])</f>
        <v>1742</v>
      </c>
      <c r="AT29" s="9">
        <f>(Table1[[#This Row],[35 to 64 years]]-Table1[[#This Row],[35 to 64 years - No health insurance coverage]])/Table1[[#This Row],[35 to 64 years]]</f>
        <v>0.79038112522686021</v>
      </c>
      <c r="AU29" s="9">
        <f>IFERROR(Table1[[#This Row],[Coverage Rate ( 35 to 64 years )]], 0)</f>
        <v>0.79038112522686021</v>
      </c>
      <c r="AV29" s="6">
        <v>762</v>
      </c>
      <c r="AW29" s="6">
        <v>463</v>
      </c>
      <c r="AX29" s="6">
        <v>45</v>
      </c>
      <c r="AY29" s="6">
        <v>35</v>
      </c>
      <c r="AZ29" s="6">
        <v>219</v>
      </c>
      <c r="BA29" s="6">
        <v>0</v>
      </c>
      <c r="BB29" s="6">
        <v>0</v>
      </c>
      <c r="BC29" s="6">
        <v>109</v>
      </c>
      <c r="BD29" s="6">
        <v>0</v>
      </c>
      <c r="BE29" s="6">
        <v>7</v>
      </c>
      <c r="BF29" s="6">
        <v>9</v>
      </c>
      <c r="BG29" s="6">
        <v>37</v>
      </c>
      <c r="BH29" s="6">
        <v>0</v>
      </c>
      <c r="BI29" s="6">
        <v>0</v>
      </c>
      <c r="BJ29" s="6">
        <v>56</v>
      </c>
      <c r="BK29" s="9">
        <f>SUM(Table1[[#This Row],[35 to 64 years - With one type of health insurance coverage]:[35 to 64 years - With two or more types of health insurance coverage &amp; Other coverage combinations]])/Table1[[#This Row],[Total]]</f>
        <v>0.60930395243091995</v>
      </c>
      <c r="BL29" s="9">
        <f>100%-Table1[[#This Row],[35 to 64 years - Penetration Rate]]</f>
        <v>0.39069604756908005</v>
      </c>
      <c r="BM29" s="6">
        <v>231</v>
      </c>
      <c r="BN29" s="6">
        <v>391</v>
      </c>
      <c r="BO29" s="6">
        <f>SUM(Table1[[#This Row],[65 years and over - With one type of health insurance coverage]:[65 years and over - With two or more types of health insurance coverage &amp; Other coverage combinations]])</f>
        <v>782</v>
      </c>
      <c r="BP29" s="9">
        <f>(Table1[[#This Row],[65 years and over]]-Table1[[#This Row],[65 years and over - No health insurance coverage]])/Table1[[#This Row],[65 years and over]]</f>
        <v>1</v>
      </c>
      <c r="BQ29" s="9">
        <f>IFERROR(Table1[[#This Row],[Coverage Rate ( 65 years and over )]], 0)</f>
        <v>1</v>
      </c>
      <c r="BR29" s="6">
        <v>101</v>
      </c>
      <c r="BS29" s="6">
        <v>0</v>
      </c>
      <c r="BT29" s="6">
        <v>0</v>
      </c>
      <c r="BU29" s="6">
        <v>101</v>
      </c>
      <c r="BV29" s="6">
        <v>0</v>
      </c>
      <c r="BW29" s="6">
        <v>0</v>
      </c>
      <c r="BX29" s="6">
        <v>290</v>
      </c>
      <c r="BY29" s="6">
        <v>0</v>
      </c>
      <c r="BZ29" s="6">
        <v>83</v>
      </c>
      <c r="CA29" s="6">
        <v>40</v>
      </c>
      <c r="CB29" s="6">
        <v>48</v>
      </c>
      <c r="CC29" s="6">
        <v>0</v>
      </c>
      <c r="CD29" s="6">
        <v>10</v>
      </c>
      <c r="CE29" s="6">
        <v>109</v>
      </c>
      <c r="CF29" s="9">
        <f>SUM(Table1[[#This Row],[65 years and over - With one type of health insurance coverage]:[65 years and over - With two or more types of health insurance coverage &amp; Other coverage combinations]])/Table1[[#This Row],[Total]]</f>
        <v>0.27352221056313397</v>
      </c>
      <c r="CG29" s="9">
        <f>100%-Table1[[#This Row],[65 years and over - Penetration Rate]]</f>
        <v>0.72647778943686603</v>
      </c>
      <c r="CH29" s="6">
        <v>0</v>
      </c>
      <c r="CI29" s="6"/>
    </row>
    <row r="30" spans="1:87" x14ac:dyDescent="0.35">
      <c r="A30" t="s">
        <v>35</v>
      </c>
      <c r="B30">
        <v>29</v>
      </c>
      <c r="C30" s="5">
        <v>5400</v>
      </c>
      <c r="D30" s="5">
        <v>1059</v>
      </c>
      <c r="E30" s="5">
        <f>SUM(Table1[[#This Row],[Under 18 years - With one type of health insurance coverage]:[Under 18 years - With two or more types of health insurance coverage &amp; Other coverage combinations]])</f>
        <v>2052</v>
      </c>
      <c r="F30" s="6">
        <v>950</v>
      </c>
      <c r="G30" s="6">
        <v>320</v>
      </c>
      <c r="H30" s="6">
        <v>65</v>
      </c>
      <c r="I30" s="6">
        <v>0</v>
      </c>
      <c r="J30" s="6">
        <v>565</v>
      </c>
      <c r="K30" s="6">
        <v>0</v>
      </c>
      <c r="L30" s="6">
        <v>0</v>
      </c>
      <c r="M30" s="6">
        <v>76</v>
      </c>
      <c r="N30" s="6">
        <v>0</v>
      </c>
      <c r="O30" s="6">
        <v>0</v>
      </c>
      <c r="P30" s="6">
        <v>0</v>
      </c>
      <c r="Q30" s="6">
        <v>0</v>
      </c>
      <c r="R30" s="6">
        <v>0</v>
      </c>
      <c r="S30" s="6">
        <v>76</v>
      </c>
      <c r="T30" s="9">
        <f>SUM(Table1[[#This Row],[Under 18 years - With one type of health insurance coverage]:[Under 18 years - With two or more types of health insurance coverage &amp; Other coverage combinations]])/Table1[[#This Row],[Total]]</f>
        <v>0.38</v>
      </c>
      <c r="U30" s="9">
        <f>100%-Table1[[#This Row],[Under 18 years - Penetration Rate]]</f>
        <v>0.62</v>
      </c>
      <c r="V30" s="6">
        <v>33</v>
      </c>
      <c r="W30" s="6">
        <v>1897</v>
      </c>
      <c r="X30" s="6">
        <f>SUM(Table1[[#This Row],[18 to 34 years - With one type of health insurance coverage]:[18 to 34 years - With two or more types of health insurance coverage &amp; Other coverage combinations]])</f>
        <v>3106</v>
      </c>
      <c r="Y30" s="9">
        <f>(Table1[[#This Row],[18 to 34 years]] - Table1[[#This Row],[18 to 34 years - No health insurance coverage]]) / Table1[[#This Row],[18 to 34 years]]</f>
        <v>0.81866104375329463</v>
      </c>
      <c r="Z30" s="9">
        <f>IFERROR(Table1[[#This Row],[Coverage Rate ( 18 to 34 years )]], 0)</f>
        <v>0.81866104375329463</v>
      </c>
      <c r="AA30" s="6">
        <v>1419</v>
      </c>
      <c r="AB30" s="6">
        <v>969</v>
      </c>
      <c r="AC30" s="6">
        <v>257</v>
      </c>
      <c r="AD30" s="6">
        <v>0</v>
      </c>
      <c r="AE30" s="6">
        <v>193</v>
      </c>
      <c r="AF30" s="6">
        <v>0</v>
      </c>
      <c r="AG30" s="6">
        <v>0</v>
      </c>
      <c r="AH30" s="6">
        <v>134</v>
      </c>
      <c r="AI30" s="6">
        <v>61</v>
      </c>
      <c r="AJ30" s="6">
        <v>0</v>
      </c>
      <c r="AK30" s="6">
        <v>48</v>
      </c>
      <c r="AL30" s="6">
        <v>7</v>
      </c>
      <c r="AM30" s="6">
        <v>0</v>
      </c>
      <c r="AN30" s="6">
        <v>18</v>
      </c>
      <c r="AO30" s="9">
        <f>SUM(Table1[[#This Row],[18 to 34 years - With one type of health insurance coverage]:[18 to 34 years - With two or more types of health insurance coverage &amp; Other coverage combinations]])/Table1[[#This Row],[Total]]</f>
        <v>0.57518518518518513</v>
      </c>
      <c r="AP30" s="9">
        <f>100%-Table1[[#This Row],[18 to 34 years - Penetration rate]]</f>
        <v>0.42481481481481487</v>
      </c>
      <c r="AQ30" s="6">
        <v>344</v>
      </c>
      <c r="AR30" s="6">
        <v>1719</v>
      </c>
      <c r="AS30" s="6">
        <f>SUM(Table1[[#This Row],[35 to 64 years - With one type of health insurance coverage]:[35 to 64 years - With two or more types of health insurance coverage &amp; Other coverage combinations]])</f>
        <v>2896</v>
      </c>
      <c r="AT30" s="9">
        <f>(Table1[[#This Row],[35 to 64 years]]-Table1[[#This Row],[35 to 64 years - No health insurance coverage]])/Table1[[#This Row],[35 to 64 years]]</f>
        <v>0.84235020360674806</v>
      </c>
      <c r="AU30" s="9">
        <f>IFERROR(Table1[[#This Row],[Coverage Rate ( 35 to 64 years )]], 0)</f>
        <v>0.84235020360674806</v>
      </c>
      <c r="AV30" s="6">
        <v>1193</v>
      </c>
      <c r="AW30" s="6">
        <v>676</v>
      </c>
      <c r="AX30" s="6">
        <v>92</v>
      </c>
      <c r="AY30" s="6">
        <v>16</v>
      </c>
      <c r="AZ30" s="6">
        <v>393</v>
      </c>
      <c r="BA30" s="6">
        <v>0</v>
      </c>
      <c r="BB30" s="6">
        <v>16</v>
      </c>
      <c r="BC30" s="6">
        <v>255</v>
      </c>
      <c r="BD30" s="6">
        <v>51</v>
      </c>
      <c r="BE30" s="6">
        <v>0</v>
      </c>
      <c r="BF30" s="6">
        <v>0</v>
      </c>
      <c r="BG30" s="6">
        <v>52</v>
      </c>
      <c r="BH30" s="6">
        <v>0</v>
      </c>
      <c r="BI30" s="6">
        <v>31</v>
      </c>
      <c r="BJ30" s="6">
        <v>121</v>
      </c>
      <c r="BK30" s="9">
        <f>SUM(Table1[[#This Row],[35 to 64 years - With one type of health insurance coverage]:[35 to 64 years - With two or more types of health insurance coverage &amp; Other coverage combinations]])/Table1[[#This Row],[Total]]</f>
        <v>0.53629629629629627</v>
      </c>
      <c r="BL30" s="9">
        <f>100%-Table1[[#This Row],[35 to 64 years - Penetration Rate]]</f>
        <v>0.46370370370370373</v>
      </c>
      <c r="BM30" s="6">
        <v>271</v>
      </c>
      <c r="BN30" s="6">
        <v>725</v>
      </c>
      <c r="BO30" s="6">
        <f>SUM(Table1[[#This Row],[65 years and over - With one type of health insurance coverage]:[65 years and over - With two or more types of health insurance coverage &amp; Other coverage combinations]])</f>
        <v>1450</v>
      </c>
      <c r="BP30" s="9">
        <f>(Table1[[#This Row],[65 years and over]]-Table1[[#This Row],[65 years and over - No health insurance coverage]])/Table1[[#This Row],[65 years and over]]</f>
        <v>1</v>
      </c>
      <c r="BQ30" s="9">
        <f>IFERROR(Table1[[#This Row],[Coverage Rate ( 65 years and over )]], 0)</f>
        <v>1</v>
      </c>
      <c r="BR30" s="6">
        <v>187</v>
      </c>
      <c r="BS30" s="6">
        <v>27</v>
      </c>
      <c r="BT30" s="6">
        <v>0</v>
      </c>
      <c r="BU30" s="6">
        <v>160</v>
      </c>
      <c r="BV30" s="6">
        <v>0</v>
      </c>
      <c r="BW30" s="6">
        <v>0</v>
      </c>
      <c r="BX30" s="6">
        <v>538</v>
      </c>
      <c r="BY30" s="6">
        <v>0</v>
      </c>
      <c r="BZ30" s="6">
        <v>115</v>
      </c>
      <c r="CA30" s="6">
        <v>104</v>
      </c>
      <c r="CB30" s="6">
        <v>157</v>
      </c>
      <c r="CC30" s="6">
        <v>0</v>
      </c>
      <c r="CD30" s="6">
        <v>22</v>
      </c>
      <c r="CE30" s="6">
        <v>140</v>
      </c>
      <c r="CF30" s="9">
        <f>SUM(Table1[[#This Row],[65 years and over - With one type of health insurance coverage]:[65 years and over - With two or more types of health insurance coverage &amp; Other coverage combinations]])/Table1[[#This Row],[Total]]</f>
        <v>0.26851851851851855</v>
      </c>
      <c r="CG30" s="9">
        <f>100%-Table1[[#This Row],[65 years and over - Penetration Rate]]</f>
        <v>0.7314814814814814</v>
      </c>
      <c r="CH30" s="6">
        <v>0</v>
      </c>
      <c r="CI30" s="6"/>
    </row>
    <row r="31" spans="1:87" x14ac:dyDescent="0.35">
      <c r="A31" t="s">
        <v>36</v>
      </c>
      <c r="B31">
        <v>30</v>
      </c>
      <c r="C31" s="5">
        <v>2491</v>
      </c>
      <c r="D31" s="5">
        <v>726</v>
      </c>
      <c r="E31" s="5">
        <f>SUM(Table1[[#This Row],[Under 18 years - With one type of health insurance coverage]:[Under 18 years - With two or more types of health insurance coverage &amp; Other coverage combinations]])</f>
        <v>1452</v>
      </c>
      <c r="F31" s="6">
        <v>679</v>
      </c>
      <c r="G31" s="6">
        <v>399</v>
      </c>
      <c r="H31" s="6">
        <v>78</v>
      </c>
      <c r="I31" s="6">
        <v>0</v>
      </c>
      <c r="J31" s="6">
        <v>202</v>
      </c>
      <c r="K31" s="6">
        <v>0</v>
      </c>
      <c r="L31" s="6">
        <v>0</v>
      </c>
      <c r="M31" s="6">
        <v>47</v>
      </c>
      <c r="N31" s="6">
        <v>0</v>
      </c>
      <c r="O31" s="6">
        <v>0</v>
      </c>
      <c r="P31" s="6">
        <v>8</v>
      </c>
      <c r="Q31" s="6">
        <v>0</v>
      </c>
      <c r="R31" s="6">
        <v>0</v>
      </c>
      <c r="S31" s="6">
        <v>39</v>
      </c>
      <c r="T31" s="9">
        <f>SUM(Table1[[#This Row],[Under 18 years - With one type of health insurance coverage]:[Under 18 years - With two or more types of health insurance coverage &amp; Other coverage combinations]])/Table1[[#This Row],[Total]]</f>
        <v>0.58289843436370936</v>
      </c>
      <c r="U31" s="9">
        <f>100%-Table1[[#This Row],[Under 18 years - Penetration Rate]]</f>
        <v>0.41710156563629064</v>
      </c>
      <c r="V31" s="6">
        <v>0</v>
      </c>
      <c r="W31" s="6">
        <v>476</v>
      </c>
      <c r="X31" s="6">
        <f>SUM(Table1[[#This Row],[18 to 34 years - With one type of health insurance coverage]:[18 to 34 years - With two or more types of health insurance coverage &amp; Other coverage combinations]])</f>
        <v>912</v>
      </c>
      <c r="Y31" s="9">
        <f>(Table1[[#This Row],[18 to 34 years]] - Table1[[#This Row],[18 to 34 years - No health insurance coverage]]) / Table1[[#This Row],[18 to 34 years]]</f>
        <v>0.95798319327731096</v>
      </c>
      <c r="Z31" s="9">
        <f>IFERROR(Table1[[#This Row],[Coverage Rate ( 18 to 34 years )]], 0)</f>
        <v>0.95798319327731096</v>
      </c>
      <c r="AA31" s="6">
        <v>456</v>
      </c>
      <c r="AB31" s="6">
        <v>322</v>
      </c>
      <c r="AC31" s="6">
        <v>31</v>
      </c>
      <c r="AD31" s="6">
        <v>0</v>
      </c>
      <c r="AE31" s="6">
        <v>103</v>
      </c>
      <c r="AF31" s="6">
        <v>0</v>
      </c>
      <c r="AG31" s="6">
        <v>0</v>
      </c>
      <c r="AH31" s="6">
        <v>0</v>
      </c>
      <c r="AI31" s="6">
        <v>0</v>
      </c>
      <c r="AJ31" s="6">
        <v>0</v>
      </c>
      <c r="AK31" s="6">
        <v>0</v>
      </c>
      <c r="AL31" s="6">
        <v>0</v>
      </c>
      <c r="AM31" s="6">
        <v>0</v>
      </c>
      <c r="AN31" s="6">
        <v>0</v>
      </c>
      <c r="AO31" s="9">
        <f>SUM(Table1[[#This Row],[18 to 34 years - With one type of health insurance coverage]:[18 to 34 years - With two or more types of health insurance coverage &amp; Other coverage combinations]])/Table1[[#This Row],[Total]]</f>
        <v>0.36611802488960254</v>
      </c>
      <c r="AP31" s="9">
        <f>100%-Table1[[#This Row],[18 to 34 years - Penetration rate]]</f>
        <v>0.63388197511039746</v>
      </c>
      <c r="AQ31" s="6">
        <v>20</v>
      </c>
      <c r="AR31" s="6">
        <v>1029</v>
      </c>
      <c r="AS31" s="6">
        <f>SUM(Table1[[#This Row],[35 to 64 years - With one type of health insurance coverage]:[35 to 64 years - With two or more types of health insurance coverage &amp; Other coverage combinations]])</f>
        <v>1858</v>
      </c>
      <c r="AT31" s="9">
        <f>(Table1[[#This Row],[35 to 64 years]]-Table1[[#This Row],[35 to 64 years - No health insurance coverage]])/Table1[[#This Row],[35 to 64 years]]</f>
        <v>0.90281827016520899</v>
      </c>
      <c r="AU31" s="9">
        <f>IFERROR(Table1[[#This Row],[Coverage Rate ( 35 to 64 years )]], 0)</f>
        <v>0.90281827016520899</v>
      </c>
      <c r="AV31" s="6">
        <v>773</v>
      </c>
      <c r="AW31" s="6">
        <v>630</v>
      </c>
      <c r="AX31" s="6">
        <v>26</v>
      </c>
      <c r="AY31" s="6">
        <v>12</v>
      </c>
      <c r="AZ31" s="6">
        <v>105</v>
      </c>
      <c r="BA31" s="6">
        <v>0</v>
      </c>
      <c r="BB31" s="6">
        <v>0</v>
      </c>
      <c r="BC31" s="6">
        <v>156</v>
      </c>
      <c r="BD31" s="6">
        <v>16</v>
      </c>
      <c r="BE31" s="6">
        <v>6</v>
      </c>
      <c r="BF31" s="6">
        <v>16</v>
      </c>
      <c r="BG31" s="6">
        <v>85</v>
      </c>
      <c r="BH31" s="6">
        <v>0</v>
      </c>
      <c r="BI31" s="6">
        <v>0</v>
      </c>
      <c r="BJ31" s="6">
        <v>33</v>
      </c>
      <c r="BK31" s="9">
        <f>SUM(Table1[[#This Row],[35 to 64 years - With one type of health insurance coverage]:[35 to 64 years - With two or more types of health insurance coverage &amp; Other coverage combinations]])/Table1[[#This Row],[Total]]</f>
        <v>0.74588518667201931</v>
      </c>
      <c r="BL31" s="9">
        <f>100%-Table1[[#This Row],[35 to 64 years - Penetration Rate]]</f>
        <v>0.25411481332798069</v>
      </c>
      <c r="BM31" s="6">
        <v>100</v>
      </c>
      <c r="BN31" s="6">
        <v>260</v>
      </c>
      <c r="BO31" s="6">
        <f>SUM(Table1[[#This Row],[65 years and over - With one type of health insurance coverage]:[65 years and over - With two or more types of health insurance coverage &amp; Other coverage combinations]])</f>
        <v>520</v>
      </c>
      <c r="BP31" s="9">
        <f>(Table1[[#This Row],[65 years and over]]-Table1[[#This Row],[65 years and over - No health insurance coverage]])/Table1[[#This Row],[65 years and over]]</f>
        <v>1</v>
      </c>
      <c r="BQ31" s="9">
        <f>IFERROR(Table1[[#This Row],[Coverage Rate ( 65 years and over )]], 0)</f>
        <v>1</v>
      </c>
      <c r="BR31" s="6">
        <v>39</v>
      </c>
      <c r="BS31" s="6">
        <v>0</v>
      </c>
      <c r="BT31" s="6">
        <v>0</v>
      </c>
      <c r="BU31" s="6">
        <v>39</v>
      </c>
      <c r="BV31" s="6">
        <v>0</v>
      </c>
      <c r="BW31" s="6">
        <v>0</v>
      </c>
      <c r="BX31" s="6">
        <v>221</v>
      </c>
      <c r="BY31" s="6">
        <v>0</v>
      </c>
      <c r="BZ31" s="6">
        <v>59</v>
      </c>
      <c r="CA31" s="6">
        <v>66</v>
      </c>
      <c r="CB31" s="6">
        <v>56</v>
      </c>
      <c r="CC31" s="6">
        <v>0</v>
      </c>
      <c r="CD31" s="6">
        <v>0</v>
      </c>
      <c r="CE31" s="6">
        <v>40</v>
      </c>
      <c r="CF31" s="9">
        <f>SUM(Table1[[#This Row],[65 years and over - With one type of health insurance coverage]:[65 years and over - With two or more types of health insurance coverage &amp; Other coverage combinations]])/Table1[[#This Row],[Total]]</f>
        <v>0.20875150541951024</v>
      </c>
      <c r="CG31" s="9">
        <f>100%-Table1[[#This Row],[65 years and over - Penetration Rate]]</f>
        <v>0.79124849458048974</v>
      </c>
      <c r="CH31" s="6">
        <v>0</v>
      </c>
      <c r="CI31" s="6"/>
    </row>
    <row r="32" spans="1:87" x14ac:dyDescent="0.35">
      <c r="A32" t="s">
        <v>37</v>
      </c>
      <c r="B32">
        <v>31</v>
      </c>
      <c r="C32" s="5">
        <v>309</v>
      </c>
      <c r="D32" s="5">
        <v>41</v>
      </c>
      <c r="E32" s="5">
        <f>SUM(Table1[[#This Row],[Under 18 years - With one type of health insurance coverage]:[Under 18 years - With two or more types of health insurance coverage &amp; Other coverage combinations]])</f>
        <v>82</v>
      </c>
      <c r="F32" s="6">
        <v>35</v>
      </c>
      <c r="G32" s="6">
        <v>5</v>
      </c>
      <c r="H32" s="6">
        <v>0</v>
      </c>
      <c r="I32" s="6">
        <v>0</v>
      </c>
      <c r="J32" s="6">
        <v>30</v>
      </c>
      <c r="K32" s="6">
        <v>0</v>
      </c>
      <c r="L32" s="6">
        <v>0</v>
      </c>
      <c r="M32" s="6">
        <v>6</v>
      </c>
      <c r="N32" s="6">
        <v>0</v>
      </c>
      <c r="O32" s="6">
        <v>0</v>
      </c>
      <c r="P32" s="6">
        <v>0</v>
      </c>
      <c r="Q32" s="6">
        <v>0</v>
      </c>
      <c r="R32" s="6">
        <v>0</v>
      </c>
      <c r="S32" s="6">
        <v>6</v>
      </c>
      <c r="T32" s="9">
        <f>SUM(Table1[[#This Row],[Under 18 years - With one type of health insurance coverage]:[Under 18 years - With two or more types of health insurance coverage &amp; Other coverage combinations]])/Table1[[#This Row],[Total]]</f>
        <v>0.26537216828478966</v>
      </c>
      <c r="U32" s="9">
        <f>100%-Table1[[#This Row],[Under 18 years - Penetration Rate]]</f>
        <v>0.7346278317152104</v>
      </c>
      <c r="V32" s="6">
        <v>0</v>
      </c>
      <c r="W32" s="6">
        <v>136</v>
      </c>
      <c r="X32" s="6">
        <f>SUM(Table1[[#This Row],[18 to 34 years - With one type of health insurance coverage]:[18 to 34 years - With two or more types of health insurance coverage &amp; Other coverage combinations]])</f>
        <v>194</v>
      </c>
      <c r="Y32" s="9">
        <f>(Table1[[#This Row],[18 to 34 years]] - Table1[[#This Row],[18 to 34 years - No health insurance coverage]]) / Table1[[#This Row],[18 to 34 years]]</f>
        <v>0.71323529411764708</v>
      </c>
      <c r="Z32" s="9">
        <f>IFERROR(Table1[[#This Row],[Coverage Rate ( 18 to 34 years )]], 0)</f>
        <v>0.71323529411764708</v>
      </c>
      <c r="AA32" s="6">
        <v>91</v>
      </c>
      <c r="AB32" s="6">
        <v>34</v>
      </c>
      <c r="AC32" s="6">
        <v>45</v>
      </c>
      <c r="AD32" s="6">
        <v>0</v>
      </c>
      <c r="AE32" s="6">
        <v>12</v>
      </c>
      <c r="AF32" s="6">
        <v>0</v>
      </c>
      <c r="AG32" s="6">
        <v>0</v>
      </c>
      <c r="AH32" s="6">
        <v>6</v>
      </c>
      <c r="AI32" s="6">
        <v>0</v>
      </c>
      <c r="AJ32" s="6">
        <v>0</v>
      </c>
      <c r="AK32" s="6">
        <v>6</v>
      </c>
      <c r="AL32" s="6">
        <v>0</v>
      </c>
      <c r="AM32" s="6">
        <v>0</v>
      </c>
      <c r="AN32" s="6">
        <v>0</v>
      </c>
      <c r="AO32" s="9">
        <f>SUM(Table1[[#This Row],[18 to 34 years - With one type of health insurance coverage]:[18 to 34 years - With two or more types of health insurance coverage &amp; Other coverage combinations]])/Table1[[#This Row],[Total]]</f>
        <v>0.62783171521035597</v>
      </c>
      <c r="AP32" s="9">
        <f>100%-Table1[[#This Row],[18 to 34 years - Penetration rate]]</f>
        <v>0.37216828478964403</v>
      </c>
      <c r="AQ32" s="6">
        <v>39</v>
      </c>
      <c r="AR32" s="6">
        <v>103</v>
      </c>
      <c r="AS32" s="6">
        <f>SUM(Table1[[#This Row],[35 to 64 years - With one type of health insurance coverage]:[35 to 64 years - With two or more types of health insurance coverage &amp; Other coverage combinations]])</f>
        <v>190</v>
      </c>
      <c r="AT32" s="9">
        <f>(Table1[[#This Row],[35 to 64 years]]-Table1[[#This Row],[35 to 64 years - No health insurance coverage]])/Table1[[#This Row],[35 to 64 years]]</f>
        <v>0.92233009708737868</v>
      </c>
      <c r="AU32" s="9">
        <f>IFERROR(Table1[[#This Row],[Coverage Rate ( 35 to 64 years )]], 0)</f>
        <v>0.92233009708737868</v>
      </c>
      <c r="AV32" s="6">
        <v>90</v>
      </c>
      <c r="AW32" s="6">
        <v>73</v>
      </c>
      <c r="AX32" s="6">
        <v>10</v>
      </c>
      <c r="AY32" s="6">
        <v>0</v>
      </c>
      <c r="AZ32" s="6">
        <v>7</v>
      </c>
      <c r="BA32" s="6">
        <v>0</v>
      </c>
      <c r="BB32" s="6">
        <v>0</v>
      </c>
      <c r="BC32" s="6">
        <v>5</v>
      </c>
      <c r="BD32" s="6">
        <v>0</v>
      </c>
      <c r="BE32" s="6">
        <v>0</v>
      </c>
      <c r="BF32" s="6">
        <v>0</v>
      </c>
      <c r="BG32" s="6">
        <v>5</v>
      </c>
      <c r="BH32" s="6">
        <v>0</v>
      </c>
      <c r="BI32" s="6">
        <v>0</v>
      </c>
      <c r="BJ32" s="6">
        <v>0</v>
      </c>
      <c r="BK32" s="9">
        <f>SUM(Table1[[#This Row],[35 to 64 years - With one type of health insurance coverage]:[35 to 64 years - With two or more types of health insurance coverage &amp; Other coverage combinations]])/Table1[[#This Row],[Total]]</f>
        <v>0.61488673139158578</v>
      </c>
      <c r="BL32" s="9">
        <f>100%-Table1[[#This Row],[35 to 64 years - Penetration Rate]]</f>
        <v>0.38511326860841422</v>
      </c>
      <c r="BM32" s="6">
        <v>8</v>
      </c>
      <c r="BN32" s="6">
        <v>29</v>
      </c>
      <c r="BO32" s="6">
        <f>SUM(Table1[[#This Row],[65 years and over - With one type of health insurance coverage]:[65 years and over - With two or more types of health insurance coverage &amp; Other coverage combinations]])</f>
        <v>58</v>
      </c>
      <c r="BP32" s="9">
        <f>(Table1[[#This Row],[65 years and over]]-Table1[[#This Row],[65 years and over - No health insurance coverage]])/Table1[[#This Row],[65 years and over]]</f>
        <v>1</v>
      </c>
      <c r="BQ32" s="9">
        <f>IFERROR(Table1[[#This Row],[Coverage Rate ( 65 years and over )]], 0)</f>
        <v>1</v>
      </c>
      <c r="BR32" s="6">
        <v>6</v>
      </c>
      <c r="BS32" s="6">
        <v>0</v>
      </c>
      <c r="BT32" s="6">
        <v>0</v>
      </c>
      <c r="BU32" s="6">
        <v>6</v>
      </c>
      <c r="BV32" s="6">
        <v>0</v>
      </c>
      <c r="BW32" s="6">
        <v>0</v>
      </c>
      <c r="BX32" s="6">
        <v>23</v>
      </c>
      <c r="BY32" s="6">
        <v>0</v>
      </c>
      <c r="BZ32" s="6">
        <v>3</v>
      </c>
      <c r="CA32" s="6">
        <v>10</v>
      </c>
      <c r="CB32" s="6">
        <v>10</v>
      </c>
      <c r="CC32" s="6">
        <v>0</v>
      </c>
      <c r="CD32" s="6">
        <v>0</v>
      </c>
      <c r="CE32" s="6">
        <v>0</v>
      </c>
      <c r="CF32" s="9">
        <f>SUM(Table1[[#This Row],[65 years and over - With one type of health insurance coverage]:[65 years and over - With two or more types of health insurance coverage &amp; Other coverage combinations]])/Table1[[#This Row],[Total]]</f>
        <v>0.18770226537216828</v>
      </c>
      <c r="CG32" s="9">
        <f>100%-Table1[[#This Row],[65 years and over - Penetration Rate]]</f>
        <v>0.81229773462783172</v>
      </c>
      <c r="CH32" s="6">
        <v>0</v>
      </c>
      <c r="CI32" s="6"/>
    </row>
    <row r="33" spans="1:87" x14ac:dyDescent="0.35">
      <c r="A33" t="s">
        <v>38</v>
      </c>
      <c r="B33">
        <v>32</v>
      </c>
      <c r="C33" s="5">
        <v>1181</v>
      </c>
      <c r="D33" s="5">
        <v>121</v>
      </c>
      <c r="E33" s="5">
        <f>SUM(Table1[[#This Row],[Under 18 years - With one type of health insurance coverage]:[Under 18 years - With two or more types of health insurance coverage &amp; Other coverage combinations]])</f>
        <v>242</v>
      </c>
      <c r="F33" s="6">
        <v>121</v>
      </c>
      <c r="G33" s="6">
        <v>57</v>
      </c>
      <c r="H33" s="6">
        <v>32</v>
      </c>
      <c r="I33" s="6">
        <v>0</v>
      </c>
      <c r="J33" s="6">
        <v>32</v>
      </c>
      <c r="K33" s="6">
        <v>0</v>
      </c>
      <c r="L33" s="6">
        <v>0</v>
      </c>
      <c r="M33" s="6">
        <v>0</v>
      </c>
      <c r="N33" s="6">
        <v>0</v>
      </c>
      <c r="O33" s="6">
        <v>0</v>
      </c>
      <c r="P33" s="6">
        <v>0</v>
      </c>
      <c r="Q33" s="6">
        <v>0</v>
      </c>
      <c r="R33" s="6">
        <v>0</v>
      </c>
      <c r="S33" s="6">
        <v>0</v>
      </c>
      <c r="T33" s="9">
        <f>SUM(Table1[[#This Row],[Under 18 years - With one type of health insurance coverage]:[Under 18 years - With two or more types of health insurance coverage &amp; Other coverage combinations]])/Table1[[#This Row],[Total]]</f>
        <v>0.20491109229466553</v>
      </c>
      <c r="U33" s="9">
        <f>100%-Table1[[#This Row],[Under 18 years - Penetration Rate]]</f>
        <v>0.79508890770533447</v>
      </c>
      <c r="V33" s="6">
        <v>0</v>
      </c>
      <c r="W33" s="6">
        <v>737</v>
      </c>
      <c r="X33" s="6">
        <f>SUM(Table1[[#This Row],[18 to 34 years - With one type of health insurance coverage]:[18 to 34 years - With two or more types of health insurance coverage &amp; Other coverage combinations]])</f>
        <v>1474</v>
      </c>
      <c r="Y33" s="9">
        <f>(Table1[[#This Row],[18 to 34 years]] - Table1[[#This Row],[18 to 34 years - No health insurance coverage]]) / Table1[[#This Row],[18 to 34 years]]</f>
        <v>1</v>
      </c>
      <c r="Z33" s="9">
        <f>IFERROR(Table1[[#This Row],[Coverage Rate ( 18 to 34 years )]], 0)</f>
        <v>1</v>
      </c>
      <c r="AA33" s="6">
        <v>737</v>
      </c>
      <c r="AB33" s="6">
        <v>571</v>
      </c>
      <c r="AC33" s="6">
        <v>116</v>
      </c>
      <c r="AD33" s="6">
        <v>0</v>
      </c>
      <c r="AE33" s="6">
        <v>50</v>
      </c>
      <c r="AF33" s="6">
        <v>0</v>
      </c>
      <c r="AG33" s="6">
        <v>0</v>
      </c>
      <c r="AH33" s="6">
        <v>0</v>
      </c>
      <c r="AI33" s="6">
        <v>0</v>
      </c>
      <c r="AJ33" s="6">
        <v>0</v>
      </c>
      <c r="AK33" s="6">
        <v>0</v>
      </c>
      <c r="AL33" s="6">
        <v>0</v>
      </c>
      <c r="AM33" s="6">
        <v>0</v>
      </c>
      <c r="AN33" s="6">
        <v>0</v>
      </c>
      <c r="AO33" s="9">
        <f>SUM(Table1[[#This Row],[18 to 34 years - With one type of health insurance coverage]:[18 to 34 years - With two or more types of health insurance coverage &amp; Other coverage combinations]])/Table1[[#This Row],[Total]]</f>
        <v>1.2480948348856902</v>
      </c>
      <c r="AP33" s="9">
        <f>100%-Table1[[#This Row],[18 to 34 years - Penetration rate]]</f>
        <v>-0.24809483488569017</v>
      </c>
      <c r="AQ33" s="6">
        <v>0</v>
      </c>
      <c r="AR33" s="6">
        <v>237</v>
      </c>
      <c r="AS33" s="6">
        <f>SUM(Table1[[#This Row],[35 to 64 years - With one type of health insurance coverage]:[35 to 64 years - With two or more types of health insurance coverage &amp; Other coverage combinations]])</f>
        <v>446</v>
      </c>
      <c r="AT33" s="9">
        <f>(Table1[[#This Row],[35 to 64 years]]-Table1[[#This Row],[35 to 64 years - No health insurance coverage]])/Table1[[#This Row],[35 to 64 years]]</f>
        <v>0.94092827004219415</v>
      </c>
      <c r="AU33" s="9">
        <f>IFERROR(Table1[[#This Row],[Coverage Rate ( 35 to 64 years )]], 0)</f>
        <v>0.94092827004219415</v>
      </c>
      <c r="AV33" s="6">
        <v>192</v>
      </c>
      <c r="AW33" s="6">
        <v>142</v>
      </c>
      <c r="AX33" s="6">
        <v>24</v>
      </c>
      <c r="AY33" s="6">
        <v>13</v>
      </c>
      <c r="AZ33" s="6">
        <v>13</v>
      </c>
      <c r="BA33" s="6">
        <v>0</v>
      </c>
      <c r="BB33" s="6">
        <v>0</v>
      </c>
      <c r="BC33" s="6">
        <v>31</v>
      </c>
      <c r="BD33" s="6">
        <v>0</v>
      </c>
      <c r="BE33" s="6">
        <v>7</v>
      </c>
      <c r="BF33" s="6">
        <v>15</v>
      </c>
      <c r="BG33" s="6">
        <v>0</v>
      </c>
      <c r="BH33" s="6">
        <v>0</v>
      </c>
      <c r="BI33" s="6">
        <v>0</v>
      </c>
      <c r="BJ33" s="6">
        <v>9</v>
      </c>
      <c r="BK33" s="9">
        <f>SUM(Table1[[#This Row],[35 to 64 years - With one type of health insurance coverage]:[35 to 64 years - With two or more types of health insurance coverage &amp; Other coverage combinations]])/Table1[[#This Row],[Total]]</f>
        <v>0.37764606265876377</v>
      </c>
      <c r="BL33" s="9">
        <f>100%-Table1[[#This Row],[35 to 64 years - Penetration Rate]]</f>
        <v>0.62235393734123623</v>
      </c>
      <c r="BM33" s="6">
        <v>14</v>
      </c>
      <c r="BN33" s="6">
        <v>86</v>
      </c>
      <c r="BO33" s="6">
        <f>SUM(Table1[[#This Row],[65 years and over - With one type of health insurance coverage]:[65 years and over - With two or more types of health insurance coverage &amp; Other coverage combinations]])</f>
        <v>172</v>
      </c>
      <c r="BP33" s="9">
        <f>(Table1[[#This Row],[65 years and over]]-Table1[[#This Row],[65 years and over - No health insurance coverage]])/Table1[[#This Row],[65 years and over]]</f>
        <v>1</v>
      </c>
      <c r="BQ33" s="9">
        <f>IFERROR(Table1[[#This Row],[Coverage Rate ( 65 years and over )]], 0)</f>
        <v>1</v>
      </c>
      <c r="BR33" s="6">
        <v>21</v>
      </c>
      <c r="BS33" s="6">
        <v>8</v>
      </c>
      <c r="BT33" s="6">
        <v>0</v>
      </c>
      <c r="BU33" s="6">
        <v>13</v>
      </c>
      <c r="BV33" s="6">
        <v>0</v>
      </c>
      <c r="BW33" s="6">
        <v>0</v>
      </c>
      <c r="BX33" s="6">
        <v>65</v>
      </c>
      <c r="BY33" s="6">
        <v>0</v>
      </c>
      <c r="BZ33" s="6">
        <v>7</v>
      </c>
      <c r="CA33" s="6">
        <v>18</v>
      </c>
      <c r="CB33" s="6">
        <v>37</v>
      </c>
      <c r="CC33" s="6">
        <v>0</v>
      </c>
      <c r="CD33" s="6">
        <v>0</v>
      </c>
      <c r="CE33" s="6">
        <v>3</v>
      </c>
      <c r="CF33" s="9">
        <f>SUM(Table1[[#This Row],[65 years and over - With one type of health insurance coverage]:[65 years and over - With two or more types of health insurance coverage &amp; Other coverage combinations]])/Table1[[#This Row],[Total]]</f>
        <v>0.14563928873835733</v>
      </c>
      <c r="CG33" s="9">
        <f>100%-Table1[[#This Row],[65 years and over - Penetration Rate]]</f>
        <v>0.8543607112616427</v>
      </c>
      <c r="CH33" s="6">
        <v>0</v>
      </c>
      <c r="CI33" s="6"/>
    </row>
    <row r="34" spans="1:87" x14ac:dyDescent="0.35">
      <c r="A34" t="s">
        <v>39</v>
      </c>
      <c r="B34">
        <v>33</v>
      </c>
      <c r="C34" s="5">
        <v>1270</v>
      </c>
      <c r="D34" s="5">
        <v>271</v>
      </c>
      <c r="E34" s="5">
        <f>SUM(Table1[[#This Row],[Under 18 years - With one type of health insurance coverage]:[Under 18 years - With two or more types of health insurance coverage &amp; Other coverage combinations]])</f>
        <v>542</v>
      </c>
      <c r="F34" s="6">
        <v>241</v>
      </c>
      <c r="G34" s="6">
        <v>61</v>
      </c>
      <c r="H34" s="6">
        <v>0</v>
      </c>
      <c r="I34" s="6">
        <v>0</v>
      </c>
      <c r="J34" s="6">
        <v>180</v>
      </c>
      <c r="K34" s="6">
        <v>0</v>
      </c>
      <c r="L34" s="6">
        <v>0</v>
      </c>
      <c r="M34" s="6">
        <v>30</v>
      </c>
      <c r="N34" s="6">
        <v>30</v>
      </c>
      <c r="O34" s="6">
        <v>0</v>
      </c>
      <c r="P34" s="6">
        <v>0</v>
      </c>
      <c r="Q34" s="6">
        <v>0</v>
      </c>
      <c r="R34" s="6">
        <v>0</v>
      </c>
      <c r="S34" s="6">
        <v>0</v>
      </c>
      <c r="T34" s="9">
        <f>SUM(Table1[[#This Row],[Under 18 years - With one type of health insurance coverage]:[Under 18 years - With two or more types of health insurance coverage &amp; Other coverage combinations]])/Table1[[#This Row],[Total]]</f>
        <v>0.42677165354330709</v>
      </c>
      <c r="U34" s="9">
        <f>100%-Table1[[#This Row],[Under 18 years - Penetration Rate]]</f>
        <v>0.57322834645669296</v>
      </c>
      <c r="V34" s="6">
        <v>0</v>
      </c>
      <c r="W34" s="6">
        <v>280</v>
      </c>
      <c r="X34" s="6">
        <f>SUM(Table1[[#This Row],[18 to 34 years - With one type of health insurance coverage]:[18 to 34 years - With two or more types of health insurance coverage &amp; Other coverage combinations]])</f>
        <v>456</v>
      </c>
      <c r="Y34" s="9">
        <f>(Table1[[#This Row],[18 to 34 years]] - Table1[[#This Row],[18 to 34 years - No health insurance coverage]]) / Table1[[#This Row],[18 to 34 years]]</f>
        <v>0.81428571428571428</v>
      </c>
      <c r="Z34" s="9">
        <f>IFERROR(Table1[[#This Row],[Coverage Rate ( 18 to 34 years )]], 0)</f>
        <v>0.81428571428571428</v>
      </c>
      <c r="AA34" s="6">
        <v>198</v>
      </c>
      <c r="AB34" s="6">
        <v>74</v>
      </c>
      <c r="AC34" s="6">
        <v>18</v>
      </c>
      <c r="AD34" s="6">
        <v>0</v>
      </c>
      <c r="AE34" s="6">
        <v>106</v>
      </c>
      <c r="AF34" s="6">
        <v>0</v>
      </c>
      <c r="AG34" s="6">
        <v>0</v>
      </c>
      <c r="AH34" s="6">
        <v>30</v>
      </c>
      <c r="AI34" s="6">
        <v>3</v>
      </c>
      <c r="AJ34" s="6">
        <v>0</v>
      </c>
      <c r="AK34" s="6">
        <v>4</v>
      </c>
      <c r="AL34" s="6">
        <v>0</v>
      </c>
      <c r="AM34" s="6">
        <v>0</v>
      </c>
      <c r="AN34" s="6">
        <v>23</v>
      </c>
      <c r="AO34" s="9">
        <f>SUM(Table1[[#This Row],[18 to 34 years - With one type of health insurance coverage]:[18 to 34 years - With two or more types of health insurance coverage &amp; Other coverage combinations]])/Table1[[#This Row],[Total]]</f>
        <v>0.35905511811023622</v>
      </c>
      <c r="AP34" s="9">
        <f>100%-Table1[[#This Row],[18 to 34 years - Penetration rate]]</f>
        <v>0.64094488188976384</v>
      </c>
      <c r="AQ34" s="6">
        <v>52</v>
      </c>
      <c r="AR34" s="6">
        <v>581</v>
      </c>
      <c r="AS34" s="6">
        <f>SUM(Table1[[#This Row],[35 to 64 years - With one type of health insurance coverage]:[35 to 64 years - With two or more types of health insurance coverage &amp; Other coverage combinations]])</f>
        <v>958</v>
      </c>
      <c r="AT34" s="9">
        <f>(Table1[[#This Row],[35 to 64 years]]-Table1[[#This Row],[35 to 64 years - No health insurance coverage]])/Table1[[#This Row],[35 to 64 years]]</f>
        <v>0.82444061962134252</v>
      </c>
      <c r="AU34" s="9">
        <f>IFERROR(Table1[[#This Row],[Coverage Rate ( 35 to 64 years )]], 0)</f>
        <v>0.82444061962134252</v>
      </c>
      <c r="AV34" s="6">
        <v>360</v>
      </c>
      <c r="AW34" s="6">
        <v>260</v>
      </c>
      <c r="AX34" s="6">
        <v>9</v>
      </c>
      <c r="AY34" s="6">
        <v>4</v>
      </c>
      <c r="AZ34" s="6">
        <v>87</v>
      </c>
      <c r="BA34" s="6">
        <v>0</v>
      </c>
      <c r="BB34" s="6">
        <v>0</v>
      </c>
      <c r="BC34" s="6">
        <v>119</v>
      </c>
      <c r="BD34" s="6">
        <v>32</v>
      </c>
      <c r="BE34" s="6">
        <v>0</v>
      </c>
      <c r="BF34" s="6">
        <v>0</v>
      </c>
      <c r="BG34" s="6">
        <v>10</v>
      </c>
      <c r="BH34" s="6">
        <v>0</v>
      </c>
      <c r="BI34" s="6">
        <v>6</v>
      </c>
      <c r="BJ34" s="6">
        <v>71</v>
      </c>
      <c r="BK34" s="9">
        <f>SUM(Table1[[#This Row],[35 to 64 years - With one type of health insurance coverage]:[35 to 64 years - With two or more types of health insurance coverage &amp; Other coverage combinations]])/Table1[[#This Row],[Total]]</f>
        <v>0.75433070866141727</v>
      </c>
      <c r="BL34" s="9">
        <f>100%-Table1[[#This Row],[35 to 64 years - Penetration Rate]]</f>
        <v>0.24566929133858273</v>
      </c>
      <c r="BM34" s="6">
        <v>102</v>
      </c>
      <c r="BN34" s="6">
        <v>138</v>
      </c>
      <c r="BO34" s="6">
        <f>SUM(Table1[[#This Row],[65 years and over - With one type of health insurance coverage]:[65 years and over - With two or more types of health insurance coverage &amp; Other coverage combinations]])</f>
        <v>276</v>
      </c>
      <c r="BP34" s="9">
        <f>(Table1[[#This Row],[65 years and over]]-Table1[[#This Row],[65 years and over - No health insurance coverage]])/Table1[[#This Row],[65 years and over]]</f>
        <v>1</v>
      </c>
      <c r="BQ34" s="9">
        <f>IFERROR(Table1[[#This Row],[Coverage Rate ( 65 years and over )]], 0)</f>
        <v>1</v>
      </c>
      <c r="BR34" s="6">
        <v>37</v>
      </c>
      <c r="BS34" s="6">
        <v>0</v>
      </c>
      <c r="BT34" s="6">
        <v>0</v>
      </c>
      <c r="BU34" s="6">
        <v>37</v>
      </c>
      <c r="BV34" s="6">
        <v>0</v>
      </c>
      <c r="BW34" s="6">
        <v>0</v>
      </c>
      <c r="BX34" s="6">
        <v>101</v>
      </c>
      <c r="BY34" s="6">
        <v>0</v>
      </c>
      <c r="BZ34" s="6">
        <v>43</v>
      </c>
      <c r="CA34" s="6">
        <v>3</v>
      </c>
      <c r="CB34" s="6">
        <v>23</v>
      </c>
      <c r="CC34" s="6">
        <v>0</v>
      </c>
      <c r="CD34" s="6">
        <v>7</v>
      </c>
      <c r="CE34" s="6">
        <v>25</v>
      </c>
      <c r="CF34" s="9">
        <f>SUM(Table1[[#This Row],[65 years and over - With one type of health insurance coverage]:[65 years and over - With two or more types of health insurance coverage &amp; Other coverage combinations]])/Table1[[#This Row],[Total]]</f>
        <v>0.21732283464566929</v>
      </c>
      <c r="CG34" s="9">
        <f>100%-Table1[[#This Row],[65 years and over - Penetration Rate]]</f>
        <v>0.78267716535433074</v>
      </c>
      <c r="CH34" s="6">
        <v>0</v>
      </c>
      <c r="CI34" s="6"/>
    </row>
    <row r="35" spans="1:87" x14ac:dyDescent="0.35">
      <c r="A35" t="s">
        <v>40</v>
      </c>
      <c r="B35">
        <v>34</v>
      </c>
      <c r="C35" s="5">
        <v>1829</v>
      </c>
      <c r="D35" s="5">
        <v>109</v>
      </c>
      <c r="E35" s="5">
        <f>SUM(Table1[[#This Row],[Under 18 years - With one type of health insurance coverage]:[Under 18 years - With two or more types of health insurance coverage &amp; Other coverage combinations]])</f>
        <v>218</v>
      </c>
      <c r="F35" s="6">
        <v>90</v>
      </c>
      <c r="G35" s="6">
        <v>80</v>
      </c>
      <c r="H35" s="6">
        <v>0</v>
      </c>
      <c r="I35" s="6">
        <v>0</v>
      </c>
      <c r="J35" s="6">
        <v>10</v>
      </c>
      <c r="K35" s="6">
        <v>0</v>
      </c>
      <c r="L35" s="6">
        <v>0</v>
      </c>
      <c r="M35" s="6">
        <v>19</v>
      </c>
      <c r="N35" s="6">
        <v>0</v>
      </c>
      <c r="O35" s="6">
        <v>0</v>
      </c>
      <c r="P35" s="6">
        <v>8</v>
      </c>
      <c r="Q35" s="6">
        <v>0</v>
      </c>
      <c r="R35" s="6">
        <v>0</v>
      </c>
      <c r="S35" s="6">
        <v>11</v>
      </c>
      <c r="T35" s="9">
        <f>SUM(Table1[[#This Row],[Under 18 years - With one type of health insurance coverage]:[Under 18 years - With two or more types of health insurance coverage &amp; Other coverage combinations]])/Table1[[#This Row],[Total]]</f>
        <v>0.11919081465281575</v>
      </c>
      <c r="U35" s="9">
        <f>100%-Table1[[#This Row],[Under 18 years - Penetration Rate]]</f>
        <v>0.88080918534718422</v>
      </c>
      <c r="V35" s="6">
        <v>0</v>
      </c>
      <c r="W35" s="6">
        <v>1121</v>
      </c>
      <c r="X35" s="6">
        <f>SUM(Table1[[#This Row],[18 to 34 years - With one type of health insurance coverage]:[18 to 34 years - With two or more types of health insurance coverage &amp; Other coverage combinations]])</f>
        <v>1960</v>
      </c>
      <c r="Y35" s="9">
        <f>(Table1[[#This Row],[18 to 34 years]] - Table1[[#This Row],[18 to 34 years - No health insurance coverage]]) / Table1[[#This Row],[18 to 34 years]]</f>
        <v>0.87421944692239073</v>
      </c>
      <c r="Z35" s="9">
        <f>IFERROR(Table1[[#This Row],[Coverage Rate ( 18 to 34 years )]], 0)</f>
        <v>0.87421944692239073</v>
      </c>
      <c r="AA35" s="6">
        <v>900</v>
      </c>
      <c r="AB35" s="6">
        <v>744</v>
      </c>
      <c r="AC35" s="6">
        <v>151</v>
      </c>
      <c r="AD35" s="6">
        <v>0</v>
      </c>
      <c r="AE35" s="6">
        <v>5</v>
      </c>
      <c r="AF35" s="6">
        <v>0</v>
      </c>
      <c r="AG35" s="6">
        <v>0</v>
      </c>
      <c r="AH35" s="6">
        <v>80</v>
      </c>
      <c r="AI35" s="6">
        <v>59</v>
      </c>
      <c r="AJ35" s="6">
        <v>0</v>
      </c>
      <c r="AK35" s="6">
        <v>0</v>
      </c>
      <c r="AL35" s="6">
        <v>0</v>
      </c>
      <c r="AM35" s="6">
        <v>0</v>
      </c>
      <c r="AN35" s="6">
        <v>21</v>
      </c>
      <c r="AO35" s="9">
        <f>SUM(Table1[[#This Row],[18 to 34 years - With one type of health insurance coverage]:[18 to 34 years - With two or more types of health insurance coverage &amp; Other coverage combinations]])/Table1[[#This Row],[Total]]</f>
        <v>1.0716238381629306</v>
      </c>
      <c r="AP35" s="9">
        <f>100%-Table1[[#This Row],[18 to 34 years - Penetration rate]]</f>
        <v>-7.1623838162930609E-2</v>
      </c>
      <c r="AQ35" s="6">
        <v>141</v>
      </c>
      <c r="AR35" s="6">
        <v>503</v>
      </c>
      <c r="AS35" s="6">
        <f>SUM(Table1[[#This Row],[35 to 64 years - With one type of health insurance coverage]:[35 to 64 years - With two or more types of health insurance coverage &amp; Other coverage combinations]])</f>
        <v>868</v>
      </c>
      <c r="AT35" s="9">
        <f>(Table1[[#This Row],[35 to 64 years]]-Table1[[#This Row],[35 to 64 years - No health insurance coverage]])/Table1[[#This Row],[35 to 64 years]]</f>
        <v>0.86282306163021871</v>
      </c>
      <c r="AU35" s="9">
        <f>IFERROR(Table1[[#This Row],[Coverage Rate ( 35 to 64 years )]], 0)</f>
        <v>0.86282306163021871</v>
      </c>
      <c r="AV35" s="6">
        <v>413</v>
      </c>
      <c r="AW35" s="6">
        <v>354</v>
      </c>
      <c r="AX35" s="6">
        <v>27</v>
      </c>
      <c r="AY35" s="6">
        <v>0</v>
      </c>
      <c r="AZ35" s="6">
        <v>23</v>
      </c>
      <c r="BA35" s="6">
        <v>0</v>
      </c>
      <c r="BB35" s="6">
        <v>9</v>
      </c>
      <c r="BC35" s="6">
        <v>21</v>
      </c>
      <c r="BD35" s="6">
        <v>0</v>
      </c>
      <c r="BE35" s="6">
        <v>0</v>
      </c>
      <c r="BF35" s="6">
        <v>0</v>
      </c>
      <c r="BG35" s="6">
        <v>7</v>
      </c>
      <c r="BH35" s="6">
        <v>0</v>
      </c>
      <c r="BI35" s="6">
        <v>0</v>
      </c>
      <c r="BJ35" s="6">
        <v>14</v>
      </c>
      <c r="BK35" s="9">
        <f>SUM(Table1[[#This Row],[35 to 64 years - With one type of health insurance coverage]:[35 to 64 years - With two or more types of health insurance coverage &amp; Other coverage combinations]])/Table1[[#This Row],[Total]]</f>
        <v>0.47457627118644069</v>
      </c>
      <c r="BL35" s="9">
        <f>100%-Table1[[#This Row],[35 to 64 years - Penetration Rate]]</f>
        <v>0.52542372881355925</v>
      </c>
      <c r="BM35" s="6">
        <v>69</v>
      </c>
      <c r="BN35" s="6">
        <v>96</v>
      </c>
      <c r="BO35" s="6">
        <f>SUM(Table1[[#This Row],[65 years and over - With one type of health insurance coverage]:[65 years and over - With two or more types of health insurance coverage &amp; Other coverage combinations]])</f>
        <v>192</v>
      </c>
      <c r="BP35" s="9">
        <f>(Table1[[#This Row],[65 years and over]]-Table1[[#This Row],[65 years and over - No health insurance coverage]])/Table1[[#This Row],[65 years and over]]</f>
        <v>1</v>
      </c>
      <c r="BQ35" s="9">
        <f>IFERROR(Table1[[#This Row],[Coverage Rate ( 65 years and over )]], 0)</f>
        <v>1</v>
      </c>
      <c r="BR35" s="6">
        <v>43</v>
      </c>
      <c r="BS35" s="6">
        <v>0</v>
      </c>
      <c r="BT35" s="6">
        <v>0</v>
      </c>
      <c r="BU35" s="6">
        <v>43</v>
      </c>
      <c r="BV35" s="6">
        <v>0</v>
      </c>
      <c r="BW35" s="6">
        <v>0</v>
      </c>
      <c r="BX35" s="6">
        <v>53</v>
      </c>
      <c r="BY35" s="6">
        <v>0</v>
      </c>
      <c r="BZ35" s="6">
        <v>0</v>
      </c>
      <c r="CA35" s="6">
        <v>38</v>
      </c>
      <c r="CB35" s="6">
        <v>15</v>
      </c>
      <c r="CC35" s="6">
        <v>0</v>
      </c>
      <c r="CD35" s="6">
        <v>0</v>
      </c>
      <c r="CE35" s="6">
        <v>0</v>
      </c>
      <c r="CF35" s="9">
        <f>SUM(Table1[[#This Row],[65 years and over - With one type of health insurance coverage]:[65 years and over - With two or more types of health insurance coverage &amp; Other coverage combinations]])/Table1[[#This Row],[Total]]</f>
        <v>0.10497539639147074</v>
      </c>
      <c r="CG35" s="9">
        <f>100%-Table1[[#This Row],[65 years and over - Penetration Rate]]</f>
        <v>0.8950246036085292</v>
      </c>
      <c r="CH35" s="6">
        <v>0</v>
      </c>
      <c r="CI35" s="6"/>
    </row>
    <row r="36" spans="1:87" x14ac:dyDescent="0.35">
      <c r="A36" t="s">
        <v>41</v>
      </c>
      <c r="B36">
        <v>35</v>
      </c>
      <c r="C36" s="5">
        <v>3966</v>
      </c>
      <c r="D36" s="5">
        <v>1000</v>
      </c>
      <c r="E36" s="5">
        <f>SUM(Table1[[#This Row],[Under 18 years - With one type of health insurance coverage]:[Under 18 years - With two or more types of health insurance coverage &amp; Other coverage combinations]])</f>
        <v>1950</v>
      </c>
      <c r="F36" s="6">
        <v>911</v>
      </c>
      <c r="G36" s="6">
        <v>112</v>
      </c>
      <c r="H36" s="6">
        <v>86</v>
      </c>
      <c r="I36" s="6">
        <v>65</v>
      </c>
      <c r="J36" s="6">
        <v>648</v>
      </c>
      <c r="K36" s="6">
        <v>0</v>
      </c>
      <c r="L36" s="6">
        <v>0</v>
      </c>
      <c r="M36" s="6">
        <v>64</v>
      </c>
      <c r="N36" s="6">
        <v>0</v>
      </c>
      <c r="O36" s="6">
        <v>0</v>
      </c>
      <c r="P36" s="6">
        <v>12</v>
      </c>
      <c r="Q36" s="6">
        <v>0</v>
      </c>
      <c r="R36" s="6">
        <v>0</v>
      </c>
      <c r="S36" s="6">
        <v>52</v>
      </c>
      <c r="T36" s="9">
        <f>SUM(Table1[[#This Row],[Under 18 years - With one type of health insurance coverage]:[Under 18 years - With two or more types of health insurance coverage &amp; Other coverage combinations]])/Table1[[#This Row],[Total]]</f>
        <v>0.49167927382753401</v>
      </c>
      <c r="U36" s="9">
        <f>100%-Table1[[#This Row],[Under 18 years - Penetration Rate]]</f>
        <v>0.50832072617246604</v>
      </c>
      <c r="V36" s="6">
        <v>25</v>
      </c>
      <c r="W36" s="6">
        <v>1056</v>
      </c>
      <c r="X36" s="6">
        <f>SUM(Table1[[#This Row],[18 to 34 years - With one type of health insurance coverage]:[18 to 34 years - With two or more types of health insurance coverage &amp; Other coverage combinations]])</f>
        <v>1520</v>
      </c>
      <c r="Y36" s="9">
        <f>(Table1[[#This Row],[18 to 34 years]] - Table1[[#This Row],[18 to 34 years - No health insurance coverage]]) / Table1[[#This Row],[18 to 34 years]]</f>
        <v>0.71969696969696972</v>
      </c>
      <c r="Z36" s="9">
        <f>IFERROR(Table1[[#This Row],[Coverage Rate ( 18 to 34 years )]], 0)</f>
        <v>0.71969696969696972</v>
      </c>
      <c r="AA36" s="6">
        <v>737</v>
      </c>
      <c r="AB36" s="6">
        <v>353</v>
      </c>
      <c r="AC36" s="6">
        <v>126</v>
      </c>
      <c r="AD36" s="6">
        <v>0</v>
      </c>
      <c r="AE36" s="6">
        <v>258</v>
      </c>
      <c r="AF36" s="6">
        <v>0</v>
      </c>
      <c r="AG36" s="6">
        <v>0</v>
      </c>
      <c r="AH36" s="6">
        <v>23</v>
      </c>
      <c r="AI36" s="6">
        <v>9</v>
      </c>
      <c r="AJ36" s="6">
        <v>0</v>
      </c>
      <c r="AK36" s="6">
        <v>0</v>
      </c>
      <c r="AL36" s="6">
        <v>0</v>
      </c>
      <c r="AM36" s="6">
        <v>0</v>
      </c>
      <c r="AN36" s="6">
        <v>14</v>
      </c>
      <c r="AO36" s="9">
        <f>SUM(Table1[[#This Row],[18 to 34 years - With one type of health insurance coverage]:[18 to 34 years - With two or more types of health insurance coverage &amp; Other coverage combinations]])/Table1[[#This Row],[Total]]</f>
        <v>0.38325769036812912</v>
      </c>
      <c r="AP36" s="9">
        <f>100%-Table1[[#This Row],[18 to 34 years - Penetration rate]]</f>
        <v>0.61674230963187093</v>
      </c>
      <c r="AQ36" s="6">
        <v>296</v>
      </c>
      <c r="AR36" s="6">
        <v>1463</v>
      </c>
      <c r="AS36" s="6">
        <f>SUM(Table1[[#This Row],[35 to 64 years - With one type of health insurance coverage]:[35 to 64 years - With two or more types of health insurance coverage &amp; Other coverage combinations]])</f>
        <v>2262</v>
      </c>
      <c r="AT36" s="9">
        <f>(Table1[[#This Row],[35 to 64 years]]-Table1[[#This Row],[35 to 64 years - No health insurance coverage]])/Table1[[#This Row],[35 to 64 years]]</f>
        <v>0.77306903622693102</v>
      </c>
      <c r="AU36" s="9">
        <f>IFERROR(Table1[[#This Row],[Coverage Rate ( 35 to 64 years )]], 0)</f>
        <v>0.77306903622693102</v>
      </c>
      <c r="AV36" s="6">
        <v>852</v>
      </c>
      <c r="AW36" s="6">
        <v>520</v>
      </c>
      <c r="AX36" s="6">
        <v>56</v>
      </c>
      <c r="AY36" s="6">
        <v>19</v>
      </c>
      <c r="AZ36" s="6">
        <v>255</v>
      </c>
      <c r="BA36" s="6">
        <v>0</v>
      </c>
      <c r="BB36" s="6">
        <v>2</v>
      </c>
      <c r="BC36" s="6">
        <v>279</v>
      </c>
      <c r="BD36" s="6">
        <v>12</v>
      </c>
      <c r="BE36" s="6">
        <v>32</v>
      </c>
      <c r="BF36" s="6">
        <v>19</v>
      </c>
      <c r="BG36" s="6">
        <v>111</v>
      </c>
      <c r="BH36" s="6">
        <v>0</v>
      </c>
      <c r="BI36" s="6">
        <v>6</v>
      </c>
      <c r="BJ36" s="6">
        <v>99</v>
      </c>
      <c r="BK36" s="9">
        <f>SUM(Table1[[#This Row],[35 to 64 years - With one type of health insurance coverage]:[35 to 64 years - With two or more types of health insurance coverage &amp; Other coverage combinations]])/Table1[[#This Row],[Total]]</f>
        <v>0.57034795763993951</v>
      </c>
      <c r="BL36" s="9">
        <f>100%-Table1[[#This Row],[35 to 64 years - Penetration Rate]]</f>
        <v>0.42965204236006049</v>
      </c>
      <c r="BM36" s="6">
        <v>332</v>
      </c>
      <c r="BN36" s="6">
        <v>447</v>
      </c>
      <c r="BO36" s="6">
        <f>SUM(Table1[[#This Row],[65 years and over - With one type of health insurance coverage]:[65 years and over - With two or more types of health insurance coverage &amp; Other coverage combinations]])</f>
        <v>878</v>
      </c>
      <c r="BP36" s="9">
        <f>(Table1[[#This Row],[65 years and over]]-Table1[[#This Row],[65 years and over - No health insurance coverage]])/Table1[[#This Row],[65 years and over]]</f>
        <v>0.98210290827740487</v>
      </c>
      <c r="BQ36" s="9">
        <f>IFERROR(Table1[[#This Row],[Coverage Rate ( 65 years and over )]], 0)</f>
        <v>0.98210290827740487</v>
      </c>
      <c r="BR36" s="6">
        <v>129</v>
      </c>
      <c r="BS36" s="6">
        <v>19</v>
      </c>
      <c r="BT36" s="6">
        <v>0</v>
      </c>
      <c r="BU36" s="6">
        <v>104</v>
      </c>
      <c r="BV36" s="6">
        <v>0</v>
      </c>
      <c r="BW36" s="6">
        <v>6</v>
      </c>
      <c r="BX36" s="6">
        <v>310</v>
      </c>
      <c r="BY36" s="6">
        <v>0</v>
      </c>
      <c r="BZ36" s="6">
        <v>26</v>
      </c>
      <c r="CA36" s="6">
        <v>98</v>
      </c>
      <c r="CB36" s="6">
        <v>105</v>
      </c>
      <c r="CC36" s="6">
        <v>0</v>
      </c>
      <c r="CD36" s="6">
        <v>4</v>
      </c>
      <c r="CE36" s="6">
        <v>77</v>
      </c>
      <c r="CF36" s="9">
        <f>SUM(Table1[[#This Row],[65 years and over - With one type of health insurance coverage]:[65 years and over - With two or more types of health insurance coverage &amp; Other coverage combinations]])/Table1[[#This Row],[Total]]</f>
        <v>0.22138174483106404</v>
      </c>
      <c r="CG36" s="9">
        <f>100%-Table1[[#This Row],[65 years and over - Penetration Rate]]</f>
        <v>0.77861825516893601</v>
      </c>
      <c r="CH36" s="6">
        <v>8</v>
      </c>
      <c r="CI36" s="6"/>
    </row>
    <row r="37" spans="1:87" x14ac:dyDescent="0.35">
      <c r="A37" t="s">
        <v>42</v>
      </c>
      <c r="B37">
        <v>36</v>
      </c>
      <c r="C37" s="5">
        <v>507</v>
      </c>
      <c r="D37" s="5">
        <v>118</v>
      </c>
      <c r="E37" s="5">
        <f>SUM(Table1[[#This Row],[Under 18 years - With one type of health insurance coverage]:[Under 18 years - With two or more types of health insurance coverage &amp; Other coverage combinations]])</f>
        <v>236</v>
      </c>
      <c r="F37" s="6">
        <v>118</v>
      </c>
      <c r="G37" s="6">
        <v>21</v>
      </c>
      <c r="H37" s="6">
        <v>0</v>
      </c>
      <c r="I37" s="6">
        <v>31</v>
      </c>
      <c r="J37" s="6">
        <v>66</v>
      </c>
      <c r="K37" s="6">
        <v>0</v>
      </c>
      <c r="L37" s="6">
        <v>0</v>
      </c>
      <c r="M37" s="6">
        <v>0</v>
      </c>
      <c r="N37" s="6">
        <v>0</v>
      </c>
      <c r="O37" s="6">
        <v>0</v>
      </c>
      <c r="P37" s="6">
        <v>0</v>
      </c>
      <c r="Q37" s="6">
        <v>0</v>
      </c>
      <c r="R37" s="6">
        <v>0</v>
      </c>
      <c r="S37" s="6">
        <v>0</v>
      </c>
      <c r="T37" s="9">
        <f>SUM(Table1[[#This Row],[Under 18 years - With one type of health insurance coverage]:[Under 18 years - With two or more types of health insurance coverage &amp; Other coverage combinations]])/Table1[[#This Row],[Total]]</f>
        <v>0.46548323471400394</v>
      </c>
      <c r="U37" s="9">
        <f>100%-Table1[[#This Row],[Under 18 years - Penetration Rate]]</f>
        <v>0.53451676528599612</v>
      </c>
      <c r="V37" s="6">
        <v>0</v>
      </c>
      <c r="W37" s="6">
        <v>102</v>
      </c>
      <c r="X37" s="6">
        <f>SUM(Table1[[#This Row],[18 to 34 years - With one type of health insurance coverage]:[18 to 34 years - With two or more types of health insurance coverage &amp; Other coverage combinations]])</f>
        <v>204</v>
      </c>
      <c r="Y37" s="9">
        <f>(Table1[[#This Row],[18 to 34 years]] - Table1[[#This Row],[18 to 34 years - No health insurance coverage]]) / Table1[[#This Row],[18 to 34 years]]</f>
        <v>1</v>
      </c>
      <c r="Z37" s="9">
        <f>IFERROR(Table1[[#This Row],[Coverage Rate ( 18 to 34 years )]], 0)</f>
        <v>1</v>
      </c>
      <c r="AA37" s="6">
        <v>53</v>
      </c>
      <c r="AB37" s="6">
        <v>0</v>
      </c>
      <c r="AC37" s="6">
        <v>10</v>
      </c>
      <c r="AD37" s="6">
        <v>30</v>
      </c>
      <c r="AE37" s="6">
        <v>13</v>
      </c>
      <c r="AF37" s="6">
        <v>0</v>
      </c>
      <c r="AG37" s="6">
        <v>0</v>
      </c>
      <c r="AH37" s="6">
        <v>49</v>
      </c>
      <c r="AI37" s="6">
        <v>0</v>
      </c>
      <c r="AJ37" s="6">
        <v>0</v>
      </c>
      <c r="AK37" s="6">
        <v>0</v>
      </c>
      <c r="AL37" s="6">
        <v>0</v>
      </c>
      <c r="AM37" s="6">
        <v>0</v>
      </c>
      <c r="AN37" s="6">
        <v>49</v>
      </c>
      <c r="AO37" s="9">
        <f>SUM(Table1[[#This Row],[18 to 34 years - With one type of health insurance coverage]:[18 to 34 years - With two or more types of health insurance coverage &amp; Other coverage combinations]])/Table1[[#This Row],[Total]]</f>
        <v>0.40236686390532544</v>
      </c>
      <c r="AP37" s="9">
        <f>100%-Table1[[#This Row],[18 to 34 years - Penetration rate]]</f>
        <v>0.5976331360946745</v>
      </c>
      <c r="AQ37" s="6">
        <v>0</v>
      </c>
      <c r="AR37" s="6">
        <v>205</v>
      </c>
      <c r="AS37" s="6">
        <f>SUM(Table1[[#This Row],[35 to 64 years - With one type of health insurance coverage]:[35 to 64 years - With two or more types of health insurance coverage &amp; Other coverage combinations]])</f>
        <v>356</v>
      </c>
      <c r="AT37" s="9">
        <f>(Table1[[#This Row],[35 to 64 years]]-Table1[[#This Row],[35 to 64 years - No health insurance coverage]])/Table1[[#This Row],[35 to 64 years]]</f>
        <v>0.86829268292682926</v>
      </c>
      <c r="AU37" s="9">
        <f>IFERROR(Table1[[#This Row],[Coverage Rate ( 35 to 64 years )]], 0)</f>
        <v>0.86829268292682926</v>
      </c>
      <c r="AV37" s="6">
        <v>101</v>
      </c>
      <c r="AW37" s="6">
        <v>43</v>
      </c>
      <c r="AX37" s="6">
        <v>0</v>
      </c>
      <c r="AY37" s="6">
        <v>0</v>
      </c>
      <c r="AZ37" s="6">
        <v>58</v>
      </c>
      <c r="BA37" s="6">
        <v>0</v>
      </c>
      <c r="BB37" s="6">
        <v>0</v>
      </c>
      <c r="BC37" s="6">
        <v>77</v>
      </c>
      <c r="BD37" s="6">
        <v>0</v>
      </c>
      <c r="BE37" s="6">
        <v>0</v>
      </c>
      <c r="BF37" s="6">
        <v>0</v>
      </c>
      <c r="BG37" s="6">
        <v>42</v>
      </c>
      <c r="BH37" s="6">
        <v>0</v>
      </c>
      <c r="BI37" s="6">
        <v>30</v>
      </c>
      <c r="BJ37" s="6">
        <v>5</v>
      </c>
      <c r="BK37" s="9">
        <f>SUM(Table1[[#This Row],[35 to 64 years - With one type of health insurance coverage]:[35 to 64 years - With two or more types of health insurance coverage &amp; Other coverage combinations]])/Table1[[#This Row],[Total]]</f>
        <v>0.70216962524654836</v>
      </c>
      <c r="BL37" s="9">
        <f>100%-Table1[[#This Row],[35 to 64 years - Penetration Rate]]</f>
        <v>0.29783037475345164</v>
      </c>
      <c r="BM37" s="6">
        <v>27</v>
      </c>
      <c r="BN37" s="6">
        <v>82</v>
      </c>
      <c r="BO37" s="6">
        <f>SUM(Table1[[#This Row],[65 years and over - With one type of health insurance coverage]:[65 years and over - With two or more types of health insurance coverage &amp; Other coverage combinations]])</f>
        <v>164</v>
      </c>
      <c r="BP37" s="9">
        <f>(Table1[[#This Row],[65 years and over]]-Table1[[#This Row],[65 years and over - No health insurance coverage]])/Table1[[#This Row],[65 years and over]]</f>
        <v>1</v>
      </c>
      <c r="BQ37" s="9">
        <f>IFERROR(Table1[[#This Row],[Coverage Rate ( 65 years and over )]], 0)</f>
        <v>1</v>
      </c>
      <c r="BR37" s="6">
        <v>25</v>
      </c>
      <c r="BS37" s="6">
        <v>0</v>
      </c>
      <c r="BT37" s="6">
        <v>0</v>
      </c>
      <c r="BU37" s="6">
        <v>25</v>
      </c>
      <c r="BV37" s="6">
        <v>0</v>
      </c>
      <c r="BW37" s="6">
        <v>0</v>
      </c>
      <c r="BX37" s="6">
        <v>57</v>
      </c>
      <c r="BY37" s="6">
        <v>0</v>
      </c>
      <c r="BZ37" s="6">
        <v>6</v>
      </c>
      <c r="CA37" s="6">
        <v>12</v>
      </c>
      <c r="CB37" s="6">
        <v>19</v>
      </c>
      <c r="CC37" s="6">
        <v>0</v>
      </c>
      <c r="CD37" s="6">
        <v>0</v>
      </c>
      <c r="CE37" s="6">
        <v>20</v>
      </c>
      <c r="CF37" s="9">
        <f>SUM(Table1[[#This Row],[65 years and over - With one type of health insurance coverage]:[65 years and over - With two or more types of health insurance coverage &amp; Other coverage combinations]])/Table1[[#This Row],[Total]]</f>
        <v>0.3234714003944773</v>
      </c>
      <c r="CG37" s="9">
        <f>100%-Table1[[#This Row],[65 years and over - Penetration Rate]]</f>
        <v>0.6765285996055227</v>
      </c>
      <c r="CH37" s="6">
        <v>0</v>
      </c>
      <c r="CI37" s="6"/>
    </row>
    <row r="38" spans="1:87" x14ac:dyDescent="0.35">
      <c r="A38" t="s">
        <v>43</v>
      </c>
      <c r="B38">
        <v>37</v>
      </c>
      <c r="C38" s="5">
        <v>7690</v>
      </c>
      <c r="D38" s="5">
        <v>1221</v>
      </c>
      <c r="E38" s="5">
        <f>SUM(Table1[[#This Row],[Under 18 years - With one type of health insurance coverage]:[Under 18 years - With two or more types of health insurance coverage &amp; Other coverage combinations]])</f>
        <v>2314</v>
      </c>
      <c r="F38" s="6">
        <v>1121</v>
      </c>
      <c r="G38" s="6">
        <v>764</v>
      </c>
      <c r="H38" s="6">
        <v>70</v>
      </c>
      <c r="I38" s="6">
        <v>0</v>
      </c>
      <c r="J38" s="6">
        <v>275</v>
      </c>
      <c r="K38" s="6">
        <v>12</v>
      </c>
      <c r="L38" s="6">
        <v>0</v>
      </c>
      <c r="M38" s="6">
        <v>36</v>
      </c>
      <c r="N38" s="6">
        <v>16</v>
      </c>
      <c r="O38" s="6">
        <v>9</v>
      </c>
      <c r="P38" s="6">
        <v>0</v>
      </c>
      <c r="Q38" s="6">
        <v>0</v>
      </c>
      <c r="R38" s="6">
        <v>0</v>
      </c>
      <c r="S38" s="6">
        <v>11</v>
      </c>
      <c r="T38" s="9">
        <f>SUM(Table1[[#This Row],[Under 18 years - With one type of health insurance coverage]:[Under 18 years - With two or more types of health insurance coverage &amp; Other coverage combinations]])/Table1[[#This Row],[Total]]</f>
        <v>0.30091027308192458</v>
      </c>
      <c r="U38" s="9">
        <f>100%-Table1[[#This Row],[Under 18 years - Penetration Rate]]</f>
        <v>0.69908972691807536</v>
      </c>
      <c r="V38" s="6">
        <v>64</v>
      </c>
      <c r="W38" s="6">
        <v>2527</v>
      </c>
      <c r="X38" s="6">
        <f>SUM(Table1[[#This Row],[18 to 34 years - With one type of health insurance coverage]:[18 to 34 years - With two or more types of health insurance coverage &amp; Other coverage combinations]])</f>
        <v>4526</v>
      </c>
      <c r="Y38" s="9">
        <f>(Table1[[#This Row],[18 to 34 years]] - Table1[[#This Row],[18 to 34 years - No health insurance coverage]]) / Table1[[#This Row],[18 to 34 years]]</f>
        <v>0.89552829442026116</v>
      </c>
      <c r="Z38" s="9">
        <f>IFERROR(Table1[[#This Row],[Coverage Rate ( 18 to 34 years )]], 0)</f>
        <v>0.89552829442026116</v>
      </c>
      <c r="AA38" s="6">
        <v>2204</v>
      </c>
      <c r="AB38" s="6">
        <v>1766</v>
      </c>
      <c r="AC38" s="6">
        <v>248</v>
      </c>
      <c r="AD38" s="6">
        <v>0</v>
      </c>
      <c r="AE38" s="6">
        <v>178</v>
      </c>
      <c r="AF38" s="6">
        <v>12</v>
      </c>
      <c r="AG38" s="6">
        <v>0</v>
      </c>
      <c r="AH38" s="6">
        <v>59</v>
      </c>
      <c r="AI38" s="6">
        <v>40</v>
      </c>
      <c r="AJ38" s="6">
        <v>0</v>
      </c>
      <c r="AK38" s="6">
        <v>0</v>
      </c>
      <c r="AL38" s="6">
        <v>0</v>
      </c>
      <c r="AM38" s="6">
        <v>0</v>
      </c>
      <c r="AN38" s="6">
        <v>19</v>
      </c>
      <c r="AO38" s="9">
        <f>SUM(Table1[[#This Row],[18 to 34 years - With one type of health insurance coverage]:[18 to 34 years - With two or more types of health insurance coverage &amp; Other coverage combinations]])/Table1[[#This Row],[Total]]</f>
        <v>0.58855656697009107</v>
      </c>
      <c r="AP38" s="9">
        <f>100%-Table1[[#This Row],[18 to 34 years - Penetration rate]]</f>
        <v>0.41144343302990893</v>
      </c>
      <c r="AQ38" s="6">
        <v>264</v>
      </c>
      <c r="AR38" s="6">
        <v>2761</v>
      </c>
      <c r="AS38" s="6">
        <f>SUM(Table1[[#This Row],[35 to 64 years - With one type of health insurance coverage]:[35 to 64 years - With two or more types of health insurance coverage &amp; Other coverage combinations]])</f>
        <v>5210</v>
      </c>
      <c r="AT38" s="9">
        <f>(Table1[[#This Row],[35 to 64 years]]-Table1[[#This Row],[35 to 64 years - No health insurance coverage]])/Table1[[#This Row],[35 to 64 years]]</f>
        <v>0.94349873234335391</v>
      </c>
      <c r="AU38" s="9">
        <f>IFERROR(Table1[[#This Row],[Coverage Rate ( 35 to 64 years )]], 0)</f>
        <v>0.94349873234335391</v>
      </c>
      <c r="AV38" s="6">
        <v>2363</v>
      </c>
      <c r="AW38" s="6">
        <v>2042</v>
      </c>
      <c r="AX38" s="6">
        <v>135</v>
      </c>
      <c r="AY38" s="6">
        <v>18</v>
      </c>
      <c r="AZ38" s="6">
        <v>157</v>
      </c>
      <c r="BA38" s="6">
        <v>11</v>
      </c>
      <c r="BB38" s="6">
        <v>0</v>
      </c>
      <c r="BC38" s="6">
        <v>242</v>
      </c>
      <c r="BD38" s="6">
        <v>79</v>
      </c>
      <c r="BE38" s="6">
        <v>19</v>
      </c>
      <c r="BF38" s="6">
        <v>17</v>
      </c>
      <c r="BG38" s="6">
        <v>52</v>
      </c>
      <c r="BH38" s="6">
        <v>0</v>
      </c>
      <c r="BI38" s="6">
        <v>0</v>
      </c>
      <c r="BJ38" s="6">
        <v>75</v>
      </c>
      <c r="BK38" s="9">
        <f>SUM(Table1[[#This Row],[35 to 64 years - With one type of health insurance coverage]:[35 to 64 years - With two or more types of health insurance coverage &amp; Other coverage combinations]])/Table1[[#This Row],[Total]]</f>
        <v>0.67750325097529263</v>
      </c>
      <c r="BL38" s="9">
        <f>100%-Table1[[#This Row],[35 to 64 years - Penetration Rate]]</f>
        <v>0.32249674902470737</v>
      </c>
      <c r="BM38" s="6">
        <v>156</v>
      </c>
      <c r="BN38" s="6">
        <v>1181</v>
      </c>
      <c r="BO38" s="6">
        <f>SUM(Table1[[#This Row],[65 years and over - With one type of health insurance coverage]:[65 years and over - With two or more types of health insurance coverage &amp; Other coverage combinations]])</f>
        <v>2362</v>
      </c>
      <c r="BP38" s="9">
        <f>(Table1[[#This Row],[65 years and over]]-Table1[[#This Row],[65 years and over - No health insurance coverage]])/Table1[[#This Row],[65 years and over]]</f>
        <v>1</v>
      </c>
      <c r="BQ38" s="9">
        <f>IFERROR(Table1[[#This Row],[Coverage Rate ( 65 years and over )]], 0)</f>
        <v>1</v>
      </c>
      <c r="BR38" s="6">
        <v>183</v>
      </c>
      <c r="BS38" s="6">
        <v>15</v>
      </c>
      <c r="BT38" s="6">
        <v>9</v>
      </c>
      <c r="BU38" s="6">
        <v>159</v>
      </c>
      <c r="BV38" s="6">
        <v>0</v>
      </c>
      <c r="BW38" s="6">
        <v>0</v>
      </c>
      <c r="BX38" s="6">
        <v>998</v>
      </c>
      <c r="BY38" s="6">
        <v>0</v>
      </c>
      <c r="BZ38" s="6">
        <v>178</v>
      </c>
      <c r="CA38" s="6">
        <v>357</v>
      </c>
      <c r="CB38" s="6">
        <v>129</v>
      </c>
      <c r="CC38" s="6">
        <v>0</v>
      </c>
      <c r="CD38" s="6">
        <v>9</v>
      </c>
      <c r="CE38" s="6">
        <v>325</v>
      </c>
      <c r="CF38" s="9">
        <f>SUM(Table1[[#This Row],[65 years and over - With one type of health insurance coverage]:[65 years and over - With two or more types of health insurance coverage &amp; Other coverage combinations]])/Table1[[#This Row],[Total]]</f>
        <v>0.30715214564369309</v>
      </c>
      <c r="CG38" s="9">
        <f>100%-Table1[[#This Row],[65 years and over - Penetration Rate]]</f>
        <v>0.69284785435630691</v>
      </c>
      <c r="CH38" s="6">
        <v>0</v>
      </c>
      <c r="CI38" s="6"/>
    </row>
    <row r="39" spans="1:87" x14ac:dyDescent="0.35">
      <c r="A39" t="s">
        <v>44</v>
      </c>
      <c r="B39">
        <v>38</v>
      </c>
      <c r="C39" s="5">
        <v>405</v>
      </c>
      <c r="D39" s="5">
        <v>84</v>
      </c>
      <c r="E39" s="5">
        <f>SUM(Table1[[#This Row],[Under 18 years - With one type of health insurance coverage]:[Under 18 years - With two or more types of health insurance coverage &amp; Other coverage combinations]])</f>
        <v>168</v>
      </c>
      <c r="F39" s="6">
        <v>84</v>
      </c>
      <c r="G39" s="6">
        <v>32</v>
      </c>
      <c r="H39" s="6">
        <v>19</v>
      </c>
      <c r="I39" s="6">
        <v>0</v>
      </c>
      <c r="J39" s="6">
        <v>30</v>
      </c>
      <c r="K39" s="6">
        <v>3</v>
      </c>
      <c r="L39" s="6">
        <v>0</v>
      </c>
      <c r="M39" s="6">
        <v>0</v>
      </c>
      <c r="N39" s="6">
        <v>0</v>
      </c>
      <c r="O39" s="6">
        <v>0</v>
      </c>
      <c r="P39" s="6">
        <v>0</v>
      </c>
      <c r="Q39" s="6">
        <v>0</v>
      </c>
      <c r="R39" s="6">
        <v>0</v>
      </c>
      <c r="S39" s="6">
        <v>0</v>
      </c>
      <c r="T39" s="9">
        <f>SUM(Table1[[#This Row],[Under 18 years - With one type of health insurance coverage]:[Under 18 years - With two or more types of health insurance coverage &amp; Other coverage combinations]])/Table1[[#This Row],[Total]]</f>
        <v>0.4148148148148148</v>
      </c>
      <c r="U39" s="9">
        <f>100%-Table1[[#This Row],[Under 18 years - Penetration Rate]]</f>
        <v>0.58518518518518525</v>
      </c>
      <c r="V39" s="6">
        <v>0</v>
      </c>
      <c r="W39" s="6">
        <v>59</v>
      </c>
      <c r="X39" s="6">
        <f>SUM(Table1[[#This Row],[18 to 34 years - With one type of health insurance coverage]:[18 to 34 years - With two or more types of health insurance coverage &amp; Other coverage combinations]])</f>
        <v>98</v>
      </c>
      <c r="Y39" s="9">
        <f>(Table1[[#This Row],[18 to 34 years]] - Table1[[#This Row],[18 to 34 years - No health insurance coverage]]) / Table1[[#This Row],[18 to 34 years]]</f>
        <v>0.83050847457627119</v>
      </c>
      <c r="Z39" s="9">
        <f>IFERROR(Table1[[#This Row],[Coverage Rate ( 18 to 34 years )]], 0)</f>
        <v>0.83050847457627119</v>
      </c>
      <c r="AA39" s="6">
        <v>45</v>
      </c>
      <c r="AB39" s="6">
        <v>21</v>
      </c>
      <c r="AC39" s="6">
        <v>10</v>
      </c>
      <c r="AD39" s="6">
        <v>0</v>
      </c>
      <c r="AE39" s="6">
        <v>11</v>
      </c>
      <c r="AF39" s="6">
        <v>3</v>
      </c>
      <c r="AG39" s="6">
        <v>0</v>
      </c>
      <c r="AH39" s="6">
        <v>4</v>
      </c>
      <c r="AI39" s="6">
        <v>0</v>
      </c>
      <c r="AJ39" s="6">
        <v>0</v>
      </c>
      <c r="AK39" s="6">
        <v>4</v>
      </c>
      <c r="AL39" s="6">
        <v>0</v>
      </c>
      <c r="AM39" s="6">
        <v>0</v>
      </c>
      <c r="AN39" s="6">
        <v>0</v>
      </c>
      <c r="AO39" s="9">
        <f>SUM(Table1[[#This Row],[18 to 34 years - With one type of health insurance coverage]:[18 to 34 years - With two or more types of health insurance coverage &amp; Other coverage combinations]])/Table1[[#This Row],[Total]]</f>
        <v>0.24197530864197531</v>
      </c>
      <c r="AP39" s="9">
        <f>100%-Table1[[#This Row],[18 to 34 years - Penetration rate]]</f>
        <v>0.75802469135802464</v>
      </c>
      <c r="AQ39" s="6">
        <v>10</v>
      </c>
      <c r="AR39" s="6">
        <v>200</v>
      </c>
      <c r="AS39" s="6">
        <f>SUM(Table1[[#This Row],[35 to 64 years - With one type of health insurance coverage]:[35 to 64 years - With two or more types of health insurance coverage &amp; Other coverage combinations]])</f>
        <v>372</v>
      </c>
      <c r="AT39" s="9">
        <f>(Table1[[#This Row],[35 to 64 years]]-Table1[[#This Row],[35 to 64 years - No health insurance coverage]])/Table1[[#This Row],[35 to 64 years]]</f>
        <v>0.93</v>
      </c>
      <c r="AU39" s="9">
        <f>IFERROR(Table1[[#This Row],[Coverage Rate ( 35 to 64 years )]], 0)</f>
        <v>0.93</v>
      </c>
      <c r="AV39" s="6">
        <v>160</v>
      </c>
      <c r="AW39" s="6">
        <v>88</v>
      </c>
      <c r="AX39" s="6">
        <v>29</v>
      </c>
      <c r="AY39" s="6">
        <v>0</v>
      </c>
      <c r="AZ39" s="6">
        <v>37</v>
      </c>
      <c r="BA39" s="6">
        <v>0</v>
      </c>
      <c r="BB39" s="6">
        <v>6</v>
      </c>
      <c r="BC39" s="6">
        <v>26</v>
      </c>
      <c r="BD39" s="6">
        <v>6</v>
      </c>
      <c r="BE39" s="6">
        <v>0</v>
      </c>
      <c r="BF39" s="6">
        <v>0</v>
      </c>
      <c r="BG39" s="6">
        <v>3</v>
      </c>
      <c r="BH39" s="6">
        <v>0</v>
      </c>
      <c r="BI39" s="6">
        <v>8</v>
      </c>
      <c r="BJ39" s="6">
        <v>9</v>
      </c>
      <c r="BK39" s="9">
        <f>SUM(Table1[[#This Row],[35 to 64 years - With one type of health insurance coverage]:[35 to 64 years - With two or more types of health insurance coverage &amp; Other coverage combinations]])/Table1[[#This Row],[Total]]</f>
        <v>0.91851851851851851</v>
      </c>
      <c r="BL39" s="9">
        <f>100%-Table1[[#This Row],[35 to 64 years - Penetration Rate]]</f>
        <v>8.1481481481481488E-2</v>
      </c>
      <c r="BM39" s="6">
        <v>14</v>
      </c>
      <c r="BN39" s="6">
        <v>62</v>
      </c>
      <c r="BO39" s="6">
        <f>SUM(Table1[[#This Row],[65 years and over - With one type of health insurance coverage]:[65 years and over - With two or more types of health insurance coverage &amp; Other coverage combinations]])</f>
        <v>124</v>
      </c>
      <c r="BP39" s="9">
        <f>(Table1[[#This Row],[65 years and over]]-Table1[[#This Row],[65 years and over - No health insurance coverage]])/Table1[[#This Row],[65 years and over]]</f>
        <v>1</v>
      </c>
      <c r="BQ39" s="9">
        <f>IFERROR(Table1[[#This Row],[Coverage Rate ( 65 years and over )]], 0)</f>
        <v>1</v>
      </c>
      <c r="BR39" s="6">
        <v>16</v>
      </c>
      <c r="BS39" s="6">
        <v>0</v>
      </c>
      <c r="BT39" s="6">
        <v>5</v>
      </c>
      <c r="BU39" s="6">
        <v>11</v>
      </c>
      <c r="BV39" s="6">
        <v>0</v>
      </c>
      <c r="BW39" s="6">
        <v>0</v>
      </c>
      <c r="BX39" s="6">
        <v>46</v>
      </c>
      <c r="BY39" s="6">
        <v>0</v>
      </c>
      <c r="BZ39" s="6">
        <v>9</v>
      </c>
      <c r="CA39" s="6">
        <v>19</v>
      </c>
      <c r="CB39" s="6">
        <v>13</v>
      </c>
      <c r="CC39" s="6">
        <v>0</v>
      </c>
      <c r="CD39" s="6">
        <v>0</v>
      </c>
      <c r="CE39" s="6">
        <v>5</v>
      </c>
      <c r="CF39" s="9">
        <f>SUM(Table1[[#This Row],[65 years and over - With one type of health insurance coverage]:[65 years and over - With two or more types of health insurance coverage &amp; Other coverage combinations]])/Table1[[#This Row],[Total]]</f>
        <v>0.30617283950617286</v>
      </c>
      <c r="CG39" s="9">
        <f>100%-Table1[[#This Row],[65 years and over - Penetration Rate]]</f>
        <v>0.69382716049382709</v>
      </c>
      <c r="CH39" s="6">
        <v>0</v>
      </c>
      <c r="CI39" s="6"/>
    </row>
    <row r="40" spans="1:87" x14ac:dyDescent="0.35">
      <c r="A40" t="s">
        <v>45</v>
      </c>
      <c r="B40">
        <v>39</v>
      </c>
      <c r="C40" s="5">
        <v>4257</v>
      </c>
      <c r="D40" s="5">
        <v>1056</v>
      </c>
      <c r="E40" s="5">
        <f>SUM(Table1[[#This Row],[Under 18 years - With one type of health insurance coverage]:[Under 18 years - With two or more types of health insurance coverage &amp; Other coverage combinations]])</f>
        <v>2076</v>
      </c>
      <c r="F40" s="6">
        <v>1028</v>
      </c>
      <c r="G40" s="6">
        <v>474</v>
      </c>
      <c r="H40" s="6">
        <v>80</v>
      </c>
      <c r="I40" s="6">
        <v>0</v>
      </c>
      <c r="J40" s="6">
        <v>474</v>
      </c>
      <c r="K40" s="6">
        <v>0</v>
      </c>
      <c r="L40" s="6">
        <v>0</v>
      </c>
      <c r="M40" s="6">
        <v>10</v>
      </c>
      <c r="N40" s="6">
        <v>0</v>
      </c>
      <c r="O40" s="6">
        <v>0</v>
      </c>
      <c r="P40" s="6">
        <v>0</v>
      </c>
      <c r="Q40" s="6">
        <v>0</v>
      </c>
      <c r="R40" s="6">
        <v>0</v>
      </c>
      <c r="S40" s="6">
        <v>10</v>
      </c>
      <c r="T40" s="9">
        <f>SUM(Table1[[#This Row],[Under 18 years - With one type of health insurance coverage]:[Under 18 years - With two or more types of health insurance coverage &amp; Other coverage combinations]])/Table1[[#This Row],[Total]]</f>
        <v>0.48766737138830163</v>
      </c>
      <c r="U40" s="9">
        <f>100%-Table1[[#This Row],[Under 18 years - Penetration Rate]]</f>
        <v>0.51233262861169837</v>
      </c>
      <c r="V40" s="6">
        <v>18</v>
      </c>
      <c r="W40" s="6">
        <v>743</v>
      </c>
      <c r="X40" s="6">
        <f>SUM(Table1[[#This Row],[18 to 34 years - With one type of health insurance coverage]:[18 to 34 years - With two or more types of health insurance coverage &amp; Other coverage combinations]])</f>
        <v>1102</v>
      </c>
      <c r="Y40" s="9">
        <f>(Table1[[#This Row],[18 to 34 years]] - Table1[[#This Row],[18 to 34 years - No health insurance coverage]]) / Table1[[#This Row],[18 to 34 years]]</f>
        <v>0.74158815612382234</v>
      </c>
      <c r="Z40" s="9">
        <f>IFERROR(Table1[[#This Row],[Coverage Rate ( 18 to 34 years )]], 0)</f>
        <v>0.74158815612382234</v>
      </c>
      <c r="AA40" s="6">
        <v>526</v>
      </c>
      <c r="AB40" s="6">
        <v>358</v>
      </c>
      <c r="AC40" s="6">
        <v>51</v>
      </c>
      <c r="AD40" s="6">
        <v>0</v>
      </c>
      <c r="AE40" s="6">
        <v>117</v>
      </c>
      <c r="AF40" s="6">
        <v>0</v>
      </c>
      <c r="AG40" s="6">
        <v>0</v>
      </c>
      <c r="AH40" s="6">
        <v>25</v>
      </c>
      <c r="AI40" s="6">
        <v>0</v>
      </c>
      <c r="AJ40" s="6">
        <v>0</v>
      </c>
      <c r="AK40" s="6">
        <v>11</v>
      </c>
      <c r="AL40" s="6">
        <v>0</v>
      </c>
      <c r="AM40" s="6">
        <v>0</v>
      </c>
      <c r="AN40" s="6">
        <v>14</v>
      </c>
      <c r="AO40" s="9">
        <f>SUM(Table1[[#This Row],[18 to 34 years - With one type of health insurance coverage]:[18 to 34 years - With two or more types of health insurance coverage &amp; Other coverage combinations]])/Table1[[#This Row],[Total]]</f>
        <v>0.25886774723984024</v>
      </c>
      <c r="AP40" s="9">
        <f>100%-Table1[[#This Row],[18 to 34 years - Penetration rate]]</f>
        <v>0.74113225276015982</v>
      </c>
      <c r="AQ40" s="6">
        <v>192</v>
      </c>
      <c r="AR40" s="6">
        <v>1764</v>
      </c>
      <c r="AS40" s="6">
        <f>SUM(Table1[[#This Row],[35 to 64 years - With one type of health insurance coverage]:[35 to 64 years - With two or more types of health insurance coverage &amp; Other coverage combinations]])</f>
        <v>2898</v>
      </c>
      <c r="AT40" s="9">
        <f>(Table1[[#This Row],[35 to 64 years]]-Table1[[#This Row],[35 to 64 years - No health insurance coverage]])/Table1[[#This Row],[35 to 64 years]]</f>
        <v>0.8214285714285714</v>
      </c>
      <c r="AU40" s="9">
        <f>IFERROR(Table1[[#This Row],[Coverage Rate ( 35 to 64 years )]], 0)</f>
        <v>0.8214285714285714</v>
      </c>
      <c r="AV40" s="6">
        <v>1217</v>
      </c>
      <c r="AW40" s="6">
        <v>774</v>
      </c>
      <c r="AX40" s="6">
        <v>69</v>
      </c>
      <c r="AY40" s="6">
        <v>97</v>
      </c>
      <c r="AZ40" s="6">
        <v>275</v>
      </c>
      <c r="BA40" s="6">
        <v>0</v>
      </c>
      <c r="BB40" s="6">
        <v>2</v>
      </c>
      <c r="BC40" s="6">
        <v>232</v>
      </c>
      <c r="BD40" s="6">
        <v>30</v>
      </c>
      <c r="BE40" s="6">
        <v>0</v>
      </c>
      <c r="BF40" s="6">
        <v>0</v>
      </c>
      <c r="BG40" s="6">
        <v>115</v>
      </c>
      <c r="BH40" s="6">
        <v>0</v>
      </c>
      <c r="BI40" s="6">
        <v>0</v>
      </c>
      <c r="BJ40" s="6">
        <v>87</v>
      </c>
      <c r="BK40" s="9">
        <f>SUM(Table1[[#This Row],[35 to 64 years - With one type of health insurance coverage]:[35 to 64 years - With two or more types of health insurance coverage &amp; Other coverage combinations]])/Table1[[#This Row],[Total]]</f>
        <v>0.68076109936575058</v>
      </c>
      <c r="BL40" s="9">
        <f>100%-Table1[[#This Row],[35 to 64 years - Penetration Rate]]</f>
        <v>0.31923890063424942</v>
      </c>
      <c r="BM40" s="6">
        <v>315</v>
      </c>
      <c r="BN40" s="6">
        <v>694</v>
      </c>
      <c r="BO40" s="6">
        <f>SUM(Table1[[#This Row],[65 years and over - With one type of health insurance coverage]:[65 years and over - With two or more types of health insurance coverage &amp; Other coverage combinations]])</f>
        <v>1370</v>
      </c>
      <c r="BP40" s="9">
        <f>(Table1[[#This Row],[65 years and over]]-Table1[[#This Row],[65 years and over - No health insurance coverage]])/Table1[[#This Row],[65 years and over]]</f>
        <v>0.98703170028818443</v>
      </c>
      <c r="BQ40" s="9">
        <f>IFERROR(Table1[[#This Row],[Coverage Rate ( 65 years and over )]], 0)</f>
        <v>0.98703170028818443</v>
      </c>
      <c r="BR40" s="6">
        <v>288</v>
      </c>
      <c r="BS40" s="6">
        <v>111</v>
      </c>
      <c r="BT40" s="6">
        <v>0</v>
      </c>
      <c r="BU40" s="6">
        <v>177</v>
      </c>
      <c r="BV40" s="6">
        <v>0</v>
      </c>
      <c r="BW40" s="6">
        <v>0</v>
      </c>
      <c r="BX40" s="6">
        <v>397</v>
      </c>
      <c r="BY40" s="6">
        <v>0</v>
      </c>
      <c r="BZ40" s="6">
        <v>48</v>
      </c>
      <c r="CA40" s="6">
        <v>188</v>
      </c>
      <c r="CB40" s="6">
        <v>35</v>
      </c>
      <c r="CC40" s="6">
        <v>0</v>
      </c>
      <c r="CD40" s="6">
        <v>4</v>
      </c>
      <c r="CE40" s="6">
        <v>122</v>
      </c>
      <c r="CF40" s="9">
        <f>SUM(Table1[[#This Row],[65 years and over - With one type of health insurance coverage]:[65 years and over - With two or more types of health insurance coverage &amp; Other coverage combinations]])/Table1[[#This Row],[Total]]</f>
        <v>0.32182287996241482</v>
      </c>
      <c r="CG40" s="9">
        <f>100%-Table1[[#This Row],[65 years and over - Penetration Rate]]</f>
        <v>0.67817712003758523</v>
      </c>
      <c r="CH40" s="6">
        <v>9</v>
      </c>
      <c r="CI40" s="6"/>
    </row>
    <row r="41" spans="1:87" x14ac:dyDescent="0.35">
      <c r="A41" t="s">
        <v>46</v>
      </c>
      <c r="B41">
        <v>40</v>
      </c>
      <c r="C41" s="5">
        <v>6805</v>
      </c>
      <c r="D41" s="5">
        <v>1492</v>
      </c>
      <c r="E41" s="5">
        <f>SUM(Table1[[#This Row],[Under 18 years - With one type of health insurance coverage]:[Under 18 years - With two or more types of health insurance coverage &amp; Other coverage combinations]])</f>
        <v>2984</v>
      </c>
      <c r="F41" s="6">
        <v>1476</v>
      </c>
      <c r="G41" s="6">
        <v>962</v>
      </c>
      <c r="H41" s="6">
        <v>321</v>
      </c>
      <c r="I41" s="6">
        <v>0</v>
      </c>
      <c r="J41" s="6">
        <v>181</v>
      </c>
      <c r="K41" s="6">
        <v>12</v>
      </c>
      <c r="L41" s="6">
        <v>0</v>
      </c>
      <c r="M41" s="6">
        <v>16</v>
      </c>
      <c r="N41" s="6">
        <v>0</v>
      </c>
      <c r="O41" s="6">
        <v>0</v>
      </c>
      <c r="P41" s="6">
        <v>0</v>
      </c>
      <c r="Q41" s="6">
        <v>0</v>
      </c>
      <c r="R41" s="6">
        <v>0</v>
      </c>
      <c r="S41" s="6">
        <v>16</v>
      </c>
      <c r="T41" s="9">
        <f>SUM(Table1[[#This Row],[Under 18 years - With one type of health insurance coverage]:[Under 18 years - With two or more types of health insurance coverage &amp; Other coverage combinations]])/Table1[[#This Row],[Total]]</f>
        <v>0.43850110213078619</v>
      </c>
      <c r="U41" s="9">
        <f>100%-Table1[[#This Row],[Under 18 years - Penetration Rate]]</f>
        <v>0.56149889786921381</v>
      </c>
      <c r="V41" s="6">
        <v>0</v>
      </c>
      <c r="W41" s="6">
        <v>1690</v>
      </c>
      <c r="X41" s="6">
        <f>SUM(Table1[[#This Row],[18 to 34 years - With one type of health insurance coverage]:[18 to 34 years - With two or more types of health insurance coverage &amp; Other coverage combinations]])</f>
        <v>3088</v>
      </c>
      <c r="Y41" s="9">
        <f>(Table1[[#This Row],[18 to 34 years]] - Table1[[#This Row],[18 to 34 years - No health insurance coverage]]) / Table1[[#This Row],[18 to 34 years]]</f>
        <v>0.91360946745562133</v>
      </c>
      <c r="Z41" s="9">
        <f>IFERROR(Table1[[#This Row],[Coverage Rate ( 18 to 34 years )]], 0)</f>
        <v>0.91360946745562133</v>
      </c>
      <c r="AA41" s="6">
        <v>1519</v>
      </c>
      <c r="AB41" s="6">
        <v>1350</v>
      </c>
      <c r="AC41" s="6">
        <v>108</v>
      </c>
      <c r="AD41" s="6">
        <v>0</v>
      </c>
      <c r="AE41" s="6">
        <v>61</v>
      </c>
      <c r="AF41" s="6">
        <v>0</v>
      </c>
      <c r="AG41" s="6">
        <v>0</v>
      </c>
      <c r="AH41" s="6">
        <v>25</v>
      </c>
      <c r="AI41" s="6">
        <v>0</v>
      </c>
      <c r="AJ41" s="6">
        <v>0</v>
      </c>
      <c r="AK41" s="6">
        <v>0</v>
      </c>
      <c r="AL41" s="6">
        <v>0</v>
      </c>
      <c r="AM41" s="6">
        <v>0</v>
      </c>
      <c r="AN41" s="6">
        <v>25</v>
      </c>
      <c r="AO41" s="9">
        <f>SUM(Table1[[#This Row],[18 to 34 years - With one type of health insurance coverage]:[18 to 34 years - With two or more types of health insurance coverage &amp; Other coverage combinations]])/Table1[[#This Row],[Total]]</f>
        <v>0.45378398236590745</v>
      </c>
      <c r="AP41" s="9">
        <f>100%-Table1[[#This Row],[18 to 34 years - Penetration rate]]</f>
        <v>0.54621601763409255</v>
      </c>
      <c r="AQ41" s="6">
        <v>146</v>
      </c>
      <c r="AR41" s="6">
        <v>2700</v>
      </c>
      <c r="AS41" s="6">
        <f>SUM(Table1[[#This Row],[35 to 64 years - With one type of health insurance coverage]:[35 to 64 years - With two or more types of health insurance coverage &amp; Other coverage combinations]])</f>
        <v>5022</v>
      </c>
      <c r="AT41" s="9">
        <f>(Table1[[#This Row],[35 to 64 years]]-Table1[[#This Row],[35 to 64 years - No health insurance coverage]])/Table1[[#This Row],[35 to 64 years]]</f>
        <v>0.93</v>
      </c>
      <c r="AU41" s="9">
        <f>IFERROR(Table1[[#This Row],[Coverage Rate ( 35 to 64 years )]], 0)</f>
        <v>0.93</v>
      </c>
      <c r="AV41" s="6">
        <v>2227</v>
      </c>
      <c r="AW41" s="6">
        <v>1713</v>
      </c>
      <c r="AX41" s="6">
        <v>351</v>
      </c>
      <c r="AY41" s="6">
        <v>36</v>
      </c>
      <c r="AZ41" s="6">
        <v>64</v>
      </c>
      <c r="BA41" s="6">
        <v>15</v>
      </c>
      <c r="BB41" s="6">
        <v>48</v>
      </c>
      <c r="BC41" s="6">
        <v>284</v>
      </c>
      <c r="BD41" s="6">
        <v>101</v>
      </c>
      <c r="BE41" s="6">
        <v>0</v>
      </c>
      <c r="BF41" s="6">
        <v>21</v>
      </c>
      <c r="BG41" s="6">
        <v>2</v>
      </c>
      <c r="BH41" s="6">
        <v>0</v>
      </c>
      <c r="BI41" s="6">
        <v>13</v>
      </c>
      <c r="BJ41" s="6">
        <v>147</v>
      </c>
      <c r="BK41" s="9">
        <f>SUM(Table1[[#This Row],[35 to 64 years - With one type of health insurance coverage]:[35 to 64 years - With two or more types of health insurance coverage &amp; Other coverage combinations]])/Table1[[#This Row],[Total]]</f>
        <v>0.73798677443056571</v>
      </c>
      <c r="BL41" s="9">
        <f>100%-Table1[[#This Row],[35 to 64 years - Penetration Rate]]</f>
        <v>0.26201322556943429</v>
      </c>
      <c r="BM41" s="6">
        <v>189</v>
      </c>
      <c r="BN41" s="6">
        <v>923</v>
      </c>
      <c r="BO41" s="6">
        <f>SUM(Table1[[#This Row],[65 years and over - With one type of health insurance coverage]:[65 years and over - With two or more types of health insurance coverage &amp; Other coverage combinations]])</f>
        <v>1846</v>
      </c>
      <c r="BP41" s="9">
        <f>(Table1[[#This Row],[65 years and over]]-Table1[[#This Row],[65 years and over - No health insurance coverage]])/Table1[[#This Row],[65 years and over]]</f>
        <v>1</v>
      </c>
      <c r="BQ41" s="9">
        <f>IFERROR(Table1[[#This Row],[Coverage Rate ( 65 years and over )]], 0)</f>
        <v>1</v>
      </c>
      <c r="BR41" s="6">
        <v>220</v>
      </c>
      <c r="BS41" s="6">
        <v>29</v>
      </c>
      <c r="BT41" s="6">
        <v>0</v>
      </c>
      <c r="BU41" s="6">
        <v>191</v>
      </c>
      <c r="BV41" s="6">
        <v>0</v>
      </c>
      <c r="BW41" s="6">
        <v>0</v>
      </c>
      <c r="BX41" s="6">
        <v>703</v>
      </c>
      <c r="BY41" s="6">
        <v>0</v>
      </c>
      <c r="BZ41" s="6">
        <v>247</v>
      </c>
      <c r="CA41" s="6">
        <v>288</v>
      </c>
      <c r="CB41" s="6">
        <v>34</v>
      </c>
      <c r="CC41" s="6">
        <v>0</v>
      </c>
      <c r="CD41" s="6">
        <v>15</v>
      </c>
      <c r="CE41" s="6">
        <v>119</v>
      </c>
      <c r="CF41" s="9">
        <f>SUM(Table1[[#This Row],[65 years and over - With one type of health insurance coverage]:[65 years and over - With two or more types of health insurance coverage &amp; Other coverage combinations]])/Table1[[#This Row],[Total]]</f>
        <v>0.27127112417340193</v>
      </c>
      <c r="CG41" s="9">
        <f>100%-Table1[[#This Row],[65 years and over - Penetration Rate]]</f>
        <v>0.72872887582659807</v>
      </c>
      <c r="CH41" s="6">
        <v>0</v>
      </c>
      <c r="CI41" s="6"/>
    </row>
    <row r="42" spans="1:87" x14ac:dyDescent="0.35">
      <c r="A42" t="s">
        <v>47</v>
      </c>
      <c r="B42">
        <v>41</v>
      </c>
      <c r="C42" s="5">
        <v>3371</v>
      </c>
      <c r="D42" s="5">
        <v>1275</v>
      </c>
      <c r="E42" s="5">
        <f>SUM(Table1[[#This Row],[Under 18 years - With one type of health insurance coverage]:[Under 18 years - With two or more types of health insurance coverage &amp; Other coverage combinations]])</f>
        <v>2488</v>
      </c>
      <c r="F42" s="6">
        <v>1165</v>
      </c>
      <c r="G42" s="6">
        <v>180</v>
      </c>
      <c r="H42" s="6">
        <v>119</v>
      </c>
      <c r="I42" s="6">
        <v>21</v>
      </c>
      <c r="J42" s="6">
        <v>845</v>
      </c>
      <c r="K42" s="6">
        <v>0</v>
      </c>
      <c r="L42" s="6">
        <v>0</v>
      </c>
      <c r="M42" s="6">
        <v>79</v>
      </c>
      <c r="N42" s="6">
        <v>7</v>
      </c>
      <c r="O42" s="6">
        <v>0</v>
      </c>
      <c r="P42" s="6">
        <v>19</v>
      </c>
      <c r="Q42" s="6">
        <v>0</v>
      </c>
      <c r="R42" s="6">
        <v>0</v>
      </c>
      <c r="S42" s="6">
        <v>53</v>
      </c>
      <c r="T42" s="9">
        <f>SUM(Table1[[#This Row],[Under 18 years - With one type of health insurance coverage]:[Under 18 years - With two or more types of health insurance coverage &amp; Other coverage combinations]])/Table1[[#This Row],[Total]]</f>
        <v>0.73805992287155142</v>
      </c>
      <c r="U42" s="9">
        <f>100%-Table1[[#This Row],[Under 18 years - Penetration Rate]]</f>
        <v>0.26194007712844858</v>
      </c>
      <c r="V42" s="6">
        <v>31</v>
      </c>
      <c r="W42" s="6">
        <v>789</v>
      </c>
      <c r="X42" s="6">
        <f>SUM(Table1[[#This Row],[18 to 34 years - With one type of health insurance coverage]:[18 to 34 years - With two or more types of health insurance coverage &amp; Other coverage combinations]])</f>
        <v>1236</v>
      </c>
      <c r="Y42" s="9">
        <f>(Table1[[#This Row],[18 to 34 years]] - Table1[[#This Row],[18 to 34 years - No health insurance coverage]]) / Table1[[#This Row],[18 to 34 years]]</f>
        <v>0.78326996197718635</v>
      </c>
      <c r="Z42" s="9">
        <f>IFERROR(Table1[[#This Row],[Coverage Rate ( 18 to 34 years )]], 0)</f>
        <v>0.78326996197718635</v>
      </c>
      <c r="AA42" s="6">
        <v>564</v>
      </c>
      <c r="AB42" s="6">
        <v>103</v>
      </c>
      <c r="AC42" s="6">
        <v>50</v>
      </c>
      <c r="AD42" s="6">
        <v>25</v>
      </c>
      <c r="AE42" s="6">
        <v>386</v>
      </c>
      <c r="AF42" s="6">
        <v>0</v>
      </c>
      <c r="AG42" s="6">
        <v>0</v>
      </c>
      <c r="AH42" s="6">
        <v>54</v>
      </c>
      <c r="AI42" s="6">
        <v>21</v>
      </c>
      <c r="AJ42" s="6">
        <v>0</v>
      </c>
      <c r="AK42" s="6">
        <v>23</v>
      </c>
      <c r="AL42" s="6">
        <v>0</v>
      </c>
      <c r="AM42" s="6">
        <v>0</v>
      </c>
      <c r="AN42" s="6">
        <v>10</v>
      </c>
      <c r="AO42" s="9">
        <f>SUM(Table1[[#This Row],[18 to 34 years - With one type of health insurance coverage]:[18 to 34 years - With two or more types of health insurance coverage &amp; Other coverage combinations]])/Table1[[#This Row],[Total]]</f>
        <v>0.36665677840403443</v>
      </c>
      <c r="AP42" s="9">
        <f>100%-Table1[[#This Row],[18 to 34 years - Penetration rate]]</f>
        <v>0.63334322159596557</v>
      </c>
      <c r="AQ42" s="6">
        <v>171</v>
      </c>
      <c r="AR42" s="6">
        <v>957</v>
      </c>
      <c r="AS42" s="6">
        <f>SUM(Table1[[#This Row],[35 to 64 years - With one type of health insurance coverage]:[35 to 64 years - With two or more types of health insurance coverage &amp; Other coverage combinations]])</f>
        <v>1638</v>
      </c>
      <c r="AT42" s="9">
        <f>(Table1[[#This Row],[35 to 64 years]]-Table1[[#This Row],[35 to 64 years - No health insurance coverage]])/Table1[[#This Row],[35 to 64 years]]</f>
        <v>0.85579937304075238</v>
      </c>
      <c r="AU42" s="9">
        <f>IFERROR(Table1[[#This Row],[Coverage Rate ( 35 to 64 years )]], 0)</f>
        <v>0.85579937304075238</v>
      </c>
      <c r="AV42" s="6">
        <v>640</v>
      </c>
      <c r="AW42" s="6">
        <v>306</v>
      </c>
      <c r="AX42" s="6">
        <v>18</v>
      </c>
      <c r="AY42" s="6">
        <v>40</v>
      </c>
      <c r="AZ42" s="6">
        <v>265</v>
      </c>
      <c r="BA42" s="6">
        <v>0</v>
      </c>
      <c r="BB42" s="6">
        <v>11</v>
      </c>
      <c r="BC42" s="6">
        <v>179</v>
      </c>
      <c r="BD42" s="6">
        <v>5</v>
      </c>
      <c r="BE42" s="6">
        <v>15</v>
      </c>
      <c r="BF42" s="6">
        <v>0</v>
      </c>
      <c r="BG42" s="6">
        <v>72</v>
      </c>
      <c r="BH42" s="6">
        <v>0</v>
      </c>
      <c r="BI42" s="6">
        <v>0</v>
      </c>
      <c r="BJ42" s="6">
        <v>87</v>
      </c>
      <c r="BK42" s="9">
        <f>SUM(Table1[[#This Row],[35 to 64 years - With one type of health insurance coverage]:[35 to 64 years - With two or more types of health insurance coverage &amp; Other coverage combinations]])/Table1[[#This Row],[Total]]</f>
        <v>0.48590922574903589</v>
      </c>
      <c r="BL42" s="9">
        <f>100%-Table1[[#This Row],[35 to 64 years - Penetration Rate]]</f>
        <v>0.51409077425096417</v>
      </c>
      <c r="BM42" s="6">
        <v>138</v>
      </c>
      <c r="BN42" s="6">
        <v>350</v>
      </c>
      <c r="BO42" s="6">
        <f>SUM(Table1[[#This Row],[65 years and over - With one type of health insurance coverage]:[65 years and over - With two or more types of health insurance coverage &amp; Other coverage combinations]])</f>
        <v>700</v>
      </c>
      <c r="BP42" s="9">
        <f>(Table1[[#This Row],[65 years and over]]-Table1[[#This Row],[65 years and over - No health insurance coverage]])/Table1[[#This Row],[65 years and over]]</f>
        <v>1</v>
      </c>
      <c r="BQ42" s="9">
        <f>IFERROR(Table1[[#This Row],[Coverage Rate ( 65 years and over )]], 0)</f>
        <v>1</v>
      </c>
      <c r="BR42" s="6">
        <v>108</v>
      </c>
      <c r="BS42" s="6">
        <v>0</v>
      </c>
      <c r="BT42" s="6">
        <v>0</v>
      </c>
      <c r="BU42" s="6">
        <v>108</v>
      </c>
      <c r="BV42" s="6">
        <v>0</v>
      </c>
      <c r="BW42" s="6">
        <v>0</v>
      </c>
      <c r="BX42" s="6">
        <v>242</v>
      </c>
      <c r="BY42" s="6">
        <v>0</v>
      </c>
      <c r="BZ42" s="6">
        <v>91</v>
      </c>
      <c r="CA42" s="6">
        <v>43</v>
      </c>
      <c r="CB42" s="6">
        <v>35</v>
      </c>
      <c r="CC42" s="6">
        <v>0</v>
      </c>
      <c r="CD42" s="6">
        <v>7</v>
      </c>
      <c r="CE42" s="6">
        <v>66</v>
      </c>
      <c r="CF42" s="9">
        <f>SUM(Table1[[#This Row],[65 years and over - With one type of health insurance coverage]:[65 years and over - With two or more types of health insurance coverage &amp; Other coverage combinations]])/Table1[[#This Row],[Total]]</f>
        <v>0.20765351527736578</v>
      </c>
      <c r="CG42" s="9">
        <f>100%-Table1[[#This Row],[65 years and over - Penetration Rate]]</f>
        <v>0.79234648472263425</v>
      </c>
      <c r="CH42" s="6">
        <v>0</v>
      </c>
      <c r="CI42" s="6"/>
    </row>
    <row r="43" spans="1:87" x14ac:dyDescent="0.35">
      <c r="A43" t="s">
        <v>48</v>
      </c>
      <c r="B43">
        <v>42</v>
      </c>
      <c r="C43" s="5">
        <v>2276</v>
      </c>
      <c r="D43" s="5">
        <v>555</v>
      </c>
      <c r="E43" s="5">
        <f>SUM(Table1[[#This Row],[Under 18 years - With one type of health insurance coverage]:[Under 18 years - With two or more types of health insurance coverage &amp; Other coverage combinations]])</f>
        <v>1058</v>
      </c>
      <c r="F43" s="6">
        <v>496</v>
      </c>
      <c r="G43" s="6">
        <v>115</v>
      </c>
      <c r="H43" s="6">
        <v>7</v>
      </c>
      <c r="I43" s="6">
        <v>0</v>
      </c>
      <c r="J43" s="6">
        <v>374</v>
      </c>
      <c r="K43" s="6">
        <v>0</v>
      </c>
      <c r="L43" s="6">
        <v>0</v>
      </c>
      <c r="M43" s="6">
        <v>33</v>
      </c>
      <c r="N43" s="6">
        <v>0</v>
      </c>
      <c r="O43" s="6">
        <v>0</v>
      </c>
      <c r="P43" s="6">
        <v>27</v>
      </c>
      <c r="Q43" s="6">
        <v>0</v>
      </c>
      <c r="R43" s="6">
        <v>0</v>
      </c>
      <c r="S43" s="6">
        <v>6</v>
      </c>
      <c r="T43" s="9">
        <f>SUM(Table1[[#This Row],[Under 18 years - With one type of health insurance coverage]:[Under 18 years - With two or more types of health insurance coverage &amp; Other coverage combinations]])/Table1[[#This Row],[Total]]</f>
        <v>0.46485061511423548</v>
      </c>
      <c r="U43" s="9">
        <f>100%-Table1[[#This Row],[Under 18 years - Penetration Rate]]</f>
        <v>0.53514938488576447</v>
      </c>
      <c r="V43" s="6">
        <v>26</v>
      </c>
      <c r="W43" s="6">
        <v>545</v>
      </c>
      <c r="X43" s="6">
        <f>SUM(Table1[[#This Row],[18 to 34 years - With one type of health insurance coverage]:[18 to 34 years - With two or more types of health insurance coverage &amp; Other coverage combinations]])</f>
        <v>758</v>
      </c>
      <c r="Y43" s="9">
        <f>(Table1[[#This Row],[18 to 34 years]] - Table1[[#This Row],[18 to 34 years - No health insurance coverage]]) / Table1[[#This Row],[18 to 34 years]]</f>
        <v>0.69541284403669723</v>
      </c>
      <c r="Z43" s="9">
        <f>IFERROR(Table1[[#This Row],[Coverage Rate ( 18 to 34 years )]], 0)</f>
        <v>0.69541284403669723</v>
      </c>
      <c r="AA43" s="6">
        <v>360</v>
      </c>
      <c r="AB43" s="6">
        <v>175</v>
      </c>
      <c r="AC43" s="6">
        <v>14</v>
      </c>
      <c r="AD43" s="6">
        <v>0</v>
      </c>
      <c r="AE43" s="6">
        <v>171</v>
      </c>
      <c r="AF43" s="6">
        <v>0</v>
      </c>
      <c r="AG43" s="6">
        <v>0</v>
      </c>
      <c r="AH43" s="6">
        <v>19</v>
      </c>
      <c r="AI43" s="6">
        <v>0</v>
      </c>
      <c r="AJ43" s="6">
        <v>0</v>
      </c>
      <c r="AK43" s="6">
        <v>9</v>
      </c>
      <c r="AL43" s="6">
        <v>0</v>
      </c>
      <c r="AM43" s="6">
        <v>10</v>
      </c>
      <c r="AN43" s="6">
        <v>0</v>
      </c>
      <c r="AO43" s="9">
        <f>SUM(Table1[[#This Row],[18 to 34 years - With one type of health insurance coverage]:[18 to 34 years - With two or more types of health insurance coverage &amp; Other coverage combinations]])/Table1[[#This Row],[Total]]</f>
        <v>0.33304042179261861</v>
      </c>
      <c r="AP43" s="9">
        <f>100%-Table1[[#This Row],[18 to 34 years - Penetration rate]]</f>
        <v>0.66695957820738139</v>
      </c>
      <c r="AQ43" s="6">
        <v>166</v>
      </c>
      <c r="AR43" s="6">
        <v>665</v>
      </c>
      <c r="AS43" s="6">
        <f>SUM(Table1[[#This Row],[35 to 64 years - With one type of health insurance coverage]:[35 to 64 years - With two or more types of health insurance coverage &amp; Other coverage combinations]])</f>
        <v>1140</v>
      </c>
      <c r="AT43" s="9">
        <f>(Table1[[#This Row],[35 to 64 years]]-Table1[[#This Row],[35 to 64 years - No health insurance coverage]])/Table1[[#This Row],[35 to 64 years]]</f>
        <v>0.8571428571428571</v>
      </c>
      <c r="AU43" s="9">
        <f>IFERROR(Table1[[#This Row],[Coverage Rate ( 35 to 64 years )]], 0)</f>
        <v>0.8571428571428571</v>
      </c>
      <c r="AV43" s="6">
        <v>468</v>
      </c>
      <c r="AW43" s="6">
        <v>235</v>
      </c>
      <c r="AX43" s="6">
        <v>34</v>
      </c>
      <c r="AY43" s="6">
        <v>20</v>
      </c>
      <c r="AZ43" s="6">
        <v>179</v>
      </c>
      <c r="BA43" s="6">
        <v>0</v>
      </c>
      <c r="BB43" s="6">
        <v>0</v>
      </c>
      <c r="BC43" s="6">
        <v>102</v>
      </c>
      <c r="BD43" s="6">
        <v>4</v>
      </c>
      <c r="BE43" s="6">
        <v>5</v>
      </c>
      <c r="BF43" s="6">
        <v>0</v>
      </c>
      <c r="BG43" s="6">
        <v>28</v>
      </c>
      <c r="BH43" s="6">
        <v>0</v>
      </c>
      <c r="BI43" s="6">
        <v>14</v>
      </c>
      <c r="BJ43" s="6">
        <v>51</v>
      </c>
      <c r="BK43" s="9">
        <f>SUM(Table1[[#This Row],[35 to 64 years - With one type of health insurance coverage]:[35 to 64 years - With two or more types of health insurance coverage &amp; Other coverage combinations]])/Table1[[#This Row],[Total]]</f>
        <v>0.50087873462214416</v>
      </c>
      <c r="BL43" s="9">
        <f>100%-Table1[[#This Row],[35 to 64 years - Penetration Rate]]</f>
        <v>0.49912126537785584</v>
      </c>
      <c r="BM43" s="6">
        <v>95</v>
      </c>
      <c r="BN43" s="6">
        <v>511</v>
      </c>
      <c r="BO43" s="6">
        <f>SUM(Table1[[#This Row],[65 years and over - With one type of health insurance coverage]:[65 years and over - With two or more types of health insurance coverage &amp; Other coverage combinations]])</f>
        <v>1022</v>
      </c>
      <c r="BP43" s="9">
        <f>(Table1[[#This Row],[65 years and over]]-Table1[[#This Row],[65 years and over - No health insurance coverage]])/Table1[[#This Row],[65 years and over]]</f>
        <v>1</v>
      </c>
      <c r="BQ43" s="9">
        <f>IFERROR(Table1[[#This Row],[Coverage Rate ( 65 years and over )]], 0)</f>
        <v>1</v>
      </c>
      <c r="BR43" s="6">
        <v>109</v>
      </c>
      <c r="BS43" s="6">
        <v>6</v>
      </c>
      <c r="BT43" s="6">
        <v>0</v>
      </c>
      <c r="BU43" s="6">
        <v>103</v>
      </c>
      <c r="BV43" s="6">
        <v>0</v>
      </c>
      <c r="BW43" s="6">
        <v>0</v>
      </c>
      <c r="BX43" s="6">
        <v>402</v>
      </c>
      <c r="BY43" s="6">
        <v>0</v>
      </c>
      <c r="BZ43" s="6">
        <v>62</v>
      </c>
      <c r="CA43" s="6">
        <v>55</v>
      </c>
      <c r="CB43" s="6">
        <v>140</v>
      </c>
      <c r="CC43" s="6">
        <v>0</v>
      </c>
      <c r="CD43" s="6">
        <v>20</v>
      </c>
      <c r="CE43" s="6">
        <v>125</v>
      </c>
      <c r="CF43" s="9">
        <f>SUM(Table1[[#This Row],[65 years and over - With one type of health insurance coverage]:[65 years and over - With two or more types of health insurance coverage &amp; Other coverage combinations]])/Table1[[#This Row],[Total]]</f>
        <v>0.44903339191564146</v>
      </c>
      <c r="CG43" s="9">
        <f>100%-Table1[[#This Row],[65 years and over - Penetration Rate]]</f>
        <v>0.55096660808435849</v>
      </c>
      <c r="CH43" s="6">
        <v>0</v>
      </c>
      <c r="CI43" s="6"/>
    </row>
    <row r="44" spans="1:87" x14ac:dyDescent="0.35">
      <c r="A44" t="s">
        <v>49</v>
      </c>
      <c r="B44">
        <v>43</v>
      </c>
      <c r="C44" s="5">
        <v>850</v>
      </c>
      <c r="D44" s="5">
        <v>140</v>
      </c>
      <c r="E44" s="5">
        <f>SUM(Table1[[#This Row],[Under 18 years - With one type of health insurance coverage]:[Under 18 years - With two or more types of health insurance coverage &amp; Other coverage combinations]])</f>
        <v>280</v>
      </c>
      <c r="F44" s="6">
        <v>122</v>
      </c>
      <c r="G44" s="6">
        <v>0</v>
      </c>
      <c r="H44" s="6">
        <v>6</v>
      </c>
      <c r="I44" s="6">
        <v>0</v>
      </c>
      <c r="J44" s="6">
        <v>116</v>
      </c>
      <c r="K44" s="6">
        <v>0</v>
      </c>
      <c r="L44" s="6">
        <v>0</v>
      </c>
      <c r="M44" s="6">
        <v>18</v>
      </c>
      <c r="N44" s="6">
        <v>0</v>
      </c>
      <c r="O44" s="6">
        <v>0</v>
      </c>
      <c r="P44" s="6">
        <v>18</v>
      </c>
      <c r="Q44" s="6">
        <v>0</v>
      </c>
      <c r="R44" s="6">
        <v>0</v>
      </c>
      <c r="S44" s="6">
        <v>0</v>
      </c>
      <c r="T44" s="9">
        <f>SUM(Table1[[#This Row],[Under 18 years - With one type of health insurance coverage]:[Under 18 years - With two or more types of health insurance coverage &amp; Other coverage combinations]])/Table1[[#This Row],[Total]]</f>
        <v>0.32941176470588235</v>
      </c>
      <c r="U44" s="9">
        <f>100%-Table1[[#This Row],[Under 18 years - Penetration Rate]]</f>
        <v>0.67058823529411771</v>
      </c>
      <c r="V44" s="6">
        <v>0</v>
      </c>
      <c r="W44" s="6">
        <v>196</v>
      </c>
      <c r="X44" s="6">
        <f>SUM(Table1[[#This Row],[18 to 34 years - With one type of health insurance coverage]:[18 to 34 years - With two or more types of health insurance coverage &amp; Other coverage combinations]])</f>
        <v>246</v>
      </c>
      <c r="Y44" s="9">
        <f>(Table1[[#This Row],[18 to 34 years]] - Table1[[#This Row],[18 to 34 years - No health insurance coverage]]) / Table1[[#This Row],[18 to 34 years]]</f>
        <v>0.62755102040816324</v>
      </c>
      <c r="Z44" s="9">
        <f>IFERROR(Table1[[#This Row],[Coverage Rate ( 18 to 34 years )]], 0)</f>
        <v>0.62755102040816324</v>
      </c>
      <c r="AA44" s="6">
        <v>67</v>
      </c>
      <c r="AB44" s="6">
        <v>23</v>
      </c>
      <c r="AC44" s="6">
        <v>0</v>
      </c>
      <c r="AD44" s="6">
        <v>0</v>
      </c>
      <c r="AE44" s="6">
        <v>44</v>
      </c>
      <c r="AF44" s="6">
        <v>0</v>
      </c>
      <c r="AG44" s="6">
        <v>0</v>
      </c>
      <c r="AH44" s="6">
        <v>56</v>
      </c>
      <c r="AI44" s="6">
        <v>0</v>
      </c>
      <c r="AJ44" s="6">
        <v>0</v>
      </c>
      <c r="AK44" s="6">
        <v>36</v>
      </c>
      <c r="AL44" s="6">
        <v>0</v>
      </c>
      <c r="AM44" s="6">
        <v>0</v>
      </c>
      <c r="AN44" s="6">
        <v>20</v>
      </c>
      <c r="AO44" s="9">
        <f>SUM(Table1[[#This Row],[18 to 34 years - With one type of health insurance coverage]:[18 to 34 years - With two or more types of health insurance coverage &amp; Other coverage combinations]])/Table1[[#This Row],[Total]]</f>
        <v>0.28941176470588237</v>
      </c>
      <c r="AP44" s="9">
        <f>100%-Table1[[#This Row],[18 to 34 years - Penetration rate]]</f>
        <v>0.71058823529411763</v>
      </c>
      <c r="AQ44" s="6">
        <v>73</v>
      </c>
      <c r="AR44" s="6">
        <v>276</v>
      </c>
      <c r="AS44" s="6">
        <f>SUM(Table1[[#This Row],[35 to 64 years - With one type of health insurance coverage]:[35 to 64 years - With two or more types of health insurance coverage &amp; Other coverage combinations]])</f>
        <v>470</v>
      </c>
      <c r="AT44" s="9">
        <f>(Table1[[#This Row],[35 to 64 years]]-Table1[[#This Row],[35 to 64 years - No health insurance coverage]])/Table1[[#This Row],[35 to 64 years]]</f>
        <v>0.85144927536231885</v>
      </c>
      <c r="AU44" s="9">
        <f>IFERROR(Table1[[#This Row],[Coverage Rate ( 35 to 64 years )]], 0)</f>
        <v>0.85144927536231885</v>
      </c>
      <c r="AV44" s="6">
        <v>221</v>
      </c>
      <c r="AW44" s="6">
        <v>99</v>
      </c>
      <c r="AX44" s="6">
        <v>5</v>
      </c>
      <c r="AY44" s="6">
        <v>0</v>
      </c>
      <c r="AZ44" s="6">
        <v>116</v>
      </c>
      <c r="BA44" s="6">
        <v>0</v>
      </c>
      <c r="BB44" s="6">
        <v>1</v>
      </c>
      <c r="BC44" s="6">
        <v>14</v>
      </c>
      <c r="BD44" s="6">
        <v>0</v>
      </c>
      <c r="BE44" s="6">
        <v>0</v>
      </c>
      <c r="BF44" s="6">
        <v>0</v>
      </c>
      <c r="BG44" s="6">
        <v>3</v>
      </c>
      <c r="BH44" s="6">
        <v>0</v>
      </c>
      <c r="BI44" s="6">
        <v>0</v>
      </c>
      <c r="BJ44" s="6">
        <v>11</v>
      </c>
      <c r="BK44" s="9">
        <f>SUM(Table1[[#This Row],[35 to 64 years - With one type of health insurance coverage]:[35 to 64 years - With two or more types of health insurance coverage &amp; Other coverage combinations]])/Table1[[#This Row],[Total]]</f>
        <v>0.55294117647058827</v>
      </c>
      <c r="BL44" s="9">
        <f>100%-Table1[[#This Row],[35 to 64 years - Penetration Rate]]</f>
        <v>0.44705882352941173</v>
      </c>
      <c r="BM44" s="6">
        <v>41</v>
      </c>
      <c r="BN44" s="6">
        <v>238</v>
      </c>
      <c r="BO44" s="6">
        <f>SUM(Table1[[#This Row],[65 years and over - With one type of health insurance coverage]:[65 years and over - With two or more types of health insurance coverage &amp; Other coverage combinations]])</f>
        <v>476</v>
      </c>
      <c r="BP44" s="9">
        <f>(Table1[[#This Row],[65 years and over]]-Table1[[#This Row],[65 years and over - No health insurance coverage]])/Table1[[#This Row],[65 years and over]]</f>
        <v>1</v>
      </c>
      <c r="BQ44" s="9">
        <f>IFERROR(Table1[[#This Row],[Coverage Rate ( 65 years and over )]], 0)</f>
        <v>1</v>
      </c>
      <c r="BR44" s="6">
        <v>98</v>
      </c>
      <c r="BS44" s="6">
        <v>18</v>
      </c>
      <c r="BT44" s="6">
        <v>3</v>
      </c>
      <c r="BU44" s="6">
        <v>77</v>
      </c>
      <c r="BV44" s="6">
        <v>0</v>
      </c>
      <c r="BW44" s="6">
        <v>0</v>
      </c>
      <c r="BX44" s="6">
        <v>140</v>
      </c>
      <c r="BY44" s="6">
        <v>0</v>
      </c>
      <c r="BZ44" s="6">
        <v>16</v>
      </c>
      <c r="CA44" s="6">
        <v>29</v>
      </c>
      <c r="CB44" s="6">
        <v>55</v>
      </c>
      <c r="CC44" s="6">
        <v>0</v>
      </c>
      <c r="CD44" s="6">
        <v>0</v>
      </c>
      <c r="CE44" s="6">
        <v>40</v>
      </c>
      <c r="CF44" s="9">
        <f>SUM(Table1[[#This Row],[65 years and over - With one type of health insurance coverage]:[65 years and over - With two or more types of health insurance coverage &amp; Other coverage combinations]])/Table1[[#This Row],[Total]]</f>
        <v>0.56000000000000005</v>
      </c>
      <c r="CG44" s="9">
        <f>100%-Table1[[#This Row],[65 years and over - Penetration Rate]]</f>
        <v>0.43999999999999995</v>
      </c>
      <c r="CH44" s="6">
        <v>0</v>
      </c>
      <c r="CI44" s="6"/>
    </row>
    <row r="45" spans="1:87" x14ac:dyDescent="0.35">
      <c r="A45" t="s">
        <v>50</v>
      </c>
      <c r="B45">
        <v>44</v>
      </c>
      <c r="C45" s="5">
        <v>4255</v>
      </c>
      <c r="D45" s="5">
        <v>1434</v>
      </c>
      <c r="E45" s="5">
        <f>SUM(Table1[[#This Row],[Under 18 years - With one type of health insurance coverage]:[Under 18 years - With two or more types of health insurance coverage &amp; Other coverage combinations]])</f>
        <v>2732</v>
      </c>
      <c r="F45" s="6">
        <v>1208</v>
      </c>
      <c r="G45" s="6">
        <v>256</v>
      </c>
      <c r="H45" s="6">
        <v>0</v>
      </c>
      <c r="I45" s="6">
        <v>0</v>
      </c>
      <c r="J45" s="6">
        <v>952</v>
      </c>
      <c r="K45" s="6">
        <v>0</v>
      </c>
      <c r="L45" s="6">
        <v>0</v>
      </c>
      <c r="M45" s="6">
        <v>158</v>
      </c>
      <c r="N45" s="6">
        <v>0</v>
      </c>
      <c r="O45" s="6">
        <v>0</v>
      </c>
      <c r="P45" s="6">
        <v>0</v>
      </c>
      <c r="Q45" s="6">
        <v>0</v>
      </c>
      <c r="R45" s="6">
        <v>0</v>
      </c>
      <c r="S45" s="6">
        <v>158</v>
      </c>
      <c r="T45" s="9">
        <f>SUM(Table1[[#This Row],[Under 18 years - With one type of health insurance coverage]:[Under 18 years - With two or more types of health insurance coverage &amp; Other coverage combinations]])/Table1[[#This Row],[Total]]</f>
        <v>0.6420681551116334</v>
      </c>
      <c r="U45" s="9">
        <f>100%-Table1[[#This Row],[Under 18 years - Penetration Rate]]</f>
        <v>0.3579318448883666</v>
      </c>
      <c r="V45" s="6">
        <v>68</v>
      </c>
      <c r="W45" s="6">
        <v>1152</v>
      </c>
      <c r="X45" s="6">
        <f>SUM(Table1[[#This Row],[18 to 34 years - With one type of health insurance coverage]:[18 to 34 years - With two or more types of health insurance coverage &amp; Other coverage combinations]])</f>
        <v>1630</v>
      </c>
      <c r="Y45" s="9">
        <f>(Table1[[#This Row],[18 to 34 years]] - Table1[[#This Row],[18 to 34 years - No health insurance coverage]]) / Table1[[#This Row],[18 to 34 years]]</f>
        <v>0.70746527777777779</v>
      </c>
      <c r="Z45" s="9">
        <f>IFERROR(Table1[[#This Row],[Coverage Rate ( 18 to 34 years )]], 0)</f>
        <v>0.70746527777777779</v>
      </c>
      <c r="AA45" s="6">
        <v>791</v>
      </c>
      <c r="AB45" s="6">
        <v>329</v>
      </c>
      <c r="AC45" s="6">
        <v>6</v>
      </c>
      <c r="AD45" s="6">
        <v>0</v>
      </c>
      <c r="AE45" s="6">
        <v>456</v>
      </c>
      <c r="AF45" s="6">
        <v>0</v>
      </c>
      <c r="AG45" s="6">
        <v>0</v>
      </c>
      <c r="AH45" s="6">
        <v>24</v>
      </c>
      <c r="AI45" s="6">
        <v>0</v>
      </c>
      <c r="AJ45" s="6">
        <v>0</v>
      </c>
      <c r="AK45" s="6">
        <v>0</v>
      </c>
      <c r="AL45" s="6">
        <v>0</v>
      </c>
      <c r="AM45" s="6">
        <v>0</v>
      </c>
      <c r="AN45" s="6">
        <v>24</v>
      </c>
      <c r="AO45" s="9">
        <f>SUM(Table1[[#This Row],[18 to 34 years - With one type of health insurance coverage]:[18 to 34 years - With two or more types of health insurance coverage &amp; Other coverage combinations]])/Table1[[#This Row],[Total]]</f>
        <v>0.38307873090481787</v>
      </c>
      <c r="AP45" s="9">
        <f>100%-Table1[[#This Row],[18 to 34 years - Penetration rate]]</f>
        <v>0.61692126909518219</v>
      </c>
      <c r="AQ45" s="6">
        <v>337</v>
      </c>
      <c r="AR45" s="6">
        <v>1272</v>
      </c>
      <c r="AS45" s="6">
        <f>SUM(Table1[[#This Row],[35 to 64 years - With one type of health insurance coverage]:[35 to 64 years - With two or more types of health insurance coverage &amp; Other coverage combinations]])</f>
        <v>2226</v>
      </c>
      <c r="AT45" s="9">
        <f>(Table1[[#This Row],[35 to 64 years]]-Table1[[#This Row],[35 to 64 years - No health insurance coverage]])/Table1[[#This Row],[35 to 64 years]]</f>
        <v>0.875</v>
      </c>
      <c r="AU45" s="9">
        <f>IFERROR(Table1[[#This Row],[Coverage Rate ( 35 to 64 years )]], 0)</f>
        <v>0.875</v>
      </c>
      <c r="AV45" s="6">
        <v>972</v>
      </c>
      <c r="AW45" s="6">
        <v>606</v>
      </c>
      <c r="AX45" s="6">
        <v>13</v>
      </c>
      <c r="AY45" s="6">
        <v>48</v>
      </c>
      <c r="AZ45" s="6">
        <v>305</v>
      </c>
      <c r="BA45" s="6">
        <v>0</v>
      </c>
      <c r="BB45" s="6">
        <v>0</v>
      </c>
      <c r="BC45" s="6">
        <v>141</v>
      </c>
      <c r="BD45" s="6">
        <v>23</v>
      </c>
      <c r="BE45" s="6">
        <v>8</v>
      </c>
      <c r="BF45" s="6">
        <v>0</v>
      </c>
      <c r="BG45" s="6">
        <v>53</v>
      </c>
      <c r="BH45" s="6">
        <v>0</v>
      </c>
      <c r="BI45" s="6">
        <v>0</v>
      </c>
      <c r="BJ45" s="6">
        <v>57</v>
      </c>
      <c r="BK45" s="9">
        <f>SUM(Table1[[#This Row],[35 to 64 years - With one type of health insurance coverage]:[35 to 64 years - With two or more types of health insurance coverage &amp; Other coverage combinations]])/Table1[[#This Row],[Total]]</f>
        <v>0.52314923619271447</v>
      </c>
      <c r="BL45" s="9">
        <f>100%-Table1[[#This Row],[35 to 64 years - Penetration Rate]]</f>
        <v>0.47685076380728553</v>
      </c>
      <c r="BM45" s="6">
        <v>159</v>
      </c>
      <c r="BN45" s="6">
        <v>397</v>
      </c>
      <c r="BO45" s="6">
        <f>SUM(Table1[[#This Row],[65 years and over - With one type of health insurance coverage]:[65 years and over - With two or more types of health insurance coverage &amp; Other coverage combinations]])</f>
        <v>794</v>
      </c>
      <c r="BP45" s="9">
        <f>(Table1[[#This Row],[65 years and over]]-Table1[[#This Row],[65 years and over - No health insurance coverage]])/Table1[[#This Row],[65 years and over]]</f>
        <v>1</v>
      </c>
      <c r="BQ45" s="9">
        <f>IFERROR(Table1[[#This Row],[Coverage Rate ( 65 years and over )]], 0)</f>
        <v>1</v>
      </c>
      <c r="BR45" s="6">
        <v>109</v>
      </c>
      <c r="BS45" s="6">
        <v>0</v>
      </c>
      <c r="BT45" s="6">
        <v>0</v>
      </c>
      <c r="BU45" s="6">
        <v>109</v>
      </c>
      <c r="BV45" s="6">
        <v>0</v>
      </c>
      <c r="BW45" s="6">
        <v>0</v>
      </c>
      <c r="BX45" s="6">
        <v>288</v>
      </c>
      <c r="BY45" s="6">
        <v>0</v>
      </c>
      <c r="BZ45" s="6">
        <v>14</v>
      </c>
      <c r="CA45" s="6">
        <v>129</v>
      </c>
      <c r="CB45" s="6">
        <v>90</v>
      </c>
      <c r="CC45" s="6">
        <v>0</v>
      </c>
      <c r="CD45" s="6">
        <v>13</v>
      </c>
      <c r="CE45" s="6">
        <v>42</v>
      </c>
      <c r="CF45" s="9">
        <f>SUM(Table1[[#This Row],[65 years and over - With one type of health insurance coverage]:[65 years and over - With two or more types of health insurance coverage &amp; Other coverage combinations]])/Table1[[#This Row],[Total]]</f>
        <v>0.18660399529964747</v>
      </c>
      <c r="CG45" s="9">
        <f>100%-Table1[[#This Row],[65 years and over - Penetration Rate]]</f>
        <v>0.81339600470035256</v>
      </c>
      <c r="CH45" s="6">
        <v>0</v>
      </c>
      <c r="CI45" s="6"/>
    </row>
    <row r="46" spans="1:87" x14ac:dyDescent="0.35">
      <c r="A46" t="s">
        <v>51</v>
      </c>
      <c r="B46">
        <v>45</v>
      </c>
      <c r="C46" s="5">
        <v>1493</v>
      </c>
      <c r="D46" s="5">
        <v>388</v>
      </c>
      <c r="E46" s="5">
        <f>SUM(Table1[[#This Row],[Under 18 years - With one type of health insurance coverage]:[Under 18 years - With two or more types of health insurance coverage &amp; Other coverage combinations]])</f>
        <v>770</v>
      </c>
      <c r="F46" s="6">
        <v>365</v>
      </c>
      <c r="G46" s="6">
        <v>155</v>
      </c>
      <c r="H46" s="6">
        <v>10</v>
      </c>
      <c r="I46" s="6">
        <v>0</v>
      </c>
      <c r="J46" s="6">
        <v>200</v>
      </c>
      <c r="K46" s="6">
        <v>0</v>
      </c>
      <c r="L46" s="6">
        <v>0</v>
      </c>
      <c r="M46" s="6">
        <v>20</v>
      </c>
      <c r="N46" s="6">
        <v>4</v>
      </c>
      <c r="O46" s="6">
        <v>0</v>
      </c>
      <c r="P46" s="6">
        <v>0</v>
      </c>
      <c r="Q46" s="6">
        <v>0</v>
      </c>
      <c r="R46" s="6">
        <v>0</v>
      </c>
      <c r="S46" s="6">
        <v>16</v>
      </c>
      <c r="T46" s="9">
        <f>SUM(Table1[[#This Row],[Under 18 years - With one type of health insurance coverage]:[Under 18 years - With two or more types of health insurance coverage &amp; Other coverage combinations]])/Table1[[#This Row],[Total]]</f>
        <v>0.51574012056262564</v>
      </c>
      <c r="U46" s="9">
        <f>100%-Table1[[#This Row],[Under 18 years - Penetration Rate]]</f>
        <v>0.48425987943737436</v>
      </c>
      <c r="V46" s="6">
        <v>3</v>
      </c>
      <c r="W46" s="6">
        <v>302</v>
      </c>
      <c r="X46" s="6">
        <f>SUM(Table1[[#This Row],[18 to 34 years - With one type of health insurance coverage]:[18 to 34 years - With two or more types of health insurance coverage &amp; Other coverage combinations]])</f>
        <v>502</v>
      </c>
      <c r="Y46" s="9">
        <f>(Table1[[#This Row],[18 to 34 years]] - Table1[[#This Row],[18 to 34 years - No health insurance coverage]]) / Table1[[#This Row],[18 to 34 years]]</f>
        <v>0.83112582781456956</v>
      </c>
      <c r="Z46" s="9">
        <f>IFERROR(Table1[[#This Row],[Coverage Rate ( 18 to 34 years )]], 0)</f>
        <v>0.83112582781456956</v>
      </c>
      <c r="AA46" s="6">
        <v>210</v>
      </c>
      <c r="AB46" s="6">
        <v>118</v>
      </c>
      <c r="AC46" s="6">
        <v>6</v>
      </c>
      <c r="AD46" s="6">
        <v>0</v>
      </c>
      <c r="AE46" s="6">
        <v>86</v>
      </c>
      <c r="AF46" s="6">
        <v>0</v>
      </c>
      <c r="AG46" s="6">
        <v>0</v>
      </c>
      <c r="AH46" s="6">
        <v>41</v>
      </c>
      <c r="AI46" s="6">
        <v>12</v>
      </c>
      <c r="AJ46" s="6">
        <v>0</v>
      </c>
      <c r="AK46" s="6">
        <v>25</v>
      </c>
      <c r="AL46" s="6">
        <v>0</v>
      </c>
      <c r="AM46" s="6">
        <v>0</v>
      </c>
      <c r="AN46" s="6">
        <v>4</v>
      </c>
      <c r="AO46" s="9">
        <f>SUM(Table1[[#This Row],[18 to 34 years - With one type of health insurance coverage]:[18 to 34 years - With two or more types of health insurance coverage &amp; Other coverage combinations]])/Table1[[#This Row],[Total]]</f>
        <v>0.33623576691225721</v>
      </c>
      <c r="AP46" s="9">
        <f>100%-Table1[[#This Row],[18 to 34 years - Penetration rate]]</f>
        <v>0.66376423308774279</v>
      </c>
      <c r="AQ46" s="6">
        <v>51</v>
      </c>
      <c r="AR46" s="6">
        <v>482</v>
      </c>
      <c r="AS46" s="6">
        <f>SUM(Table1[[#This Row],[35 to 64 years - With one type of health insurance coverage]:[35 to 64 years - With two or more types of health insurance coverage &amp; Other coverage combinations]])</f>
        <v>678</v>
      </c>
      <c r="AT46" s="9">
        <f>(Table1[[#This Row],[35 to 64 years]]-Table1[[#This Row],[35 to 64 years - No health insurance coverage]])/Table1[[#This Row],[35 to 64 years]]</f>
        <v>0.70331950207468885</v>
      </c>
      <c r="AU46" s="9">
        <f>IFERROR(Table1[[#This Row],[Coverage Rate ( 35 to 64 years )]], 0)</f>
        <v>0.70331950207468885</v>
      </c>
      <c r="AV46" s="6">
        <v>280</v>
      </c>
      <c r="AW46" s="6">
        <v>149</v>
      </c>
      <c r="AX46" s="6">
        <v>25</v>
      </c>
      <c r="AY46" s="6">
        <v>6</v>
      </c>
      <c r="AZ46" s="6">
        <v>100</v>
      </c>
      <c r="BA46" s="6">
        <v>0</v>
      </c>
      <c r="BB46" s="6">
        <v>0</v>
      </c>
      <c r="BC46" s="6">
        <v>59</v>
      </c>
      <c r="BD46" s="6">
        <v>0</v>
      </c>
      <c r="BE46" s="6">
        <v>5</v>
      </c>
      <c r="BF46" s="6">
        <v>0</v>
      </c>
      <c r="BG46" s="6">
        <v>11</v>
      </c>
      <c r="BH46" s="6">
        <v>0</v>
      </c>
      <c r="BI46" s="6">
        <v>5</v>
      </c>
      <c r="BJ46" s="6">
        <v>38</v>
      </c>
      <c r="BK46" s="9">
        <f>SUM(Table1[[#This Row],[35 to 64 years - With one type of health insurance coverage]:[35 to 64 years - With two or more types of health insurance coverage &amp; Other coverage combinations]])/Table1[[#This Row],[Total]]</f>
        <v>0.45411922304085733</v>
      </c>
      <c r="BL46" s="9">
        <f>100%-Table1[[#This Row],[35 to 64 years - Penetration Rate]]</f>
        <v>0.54588077695914272</v>
      </c>
      <c r="BM46" s="6">
        <v>143</v>
      </c>
      <c r="BN46" s="6">
        <v>321</v>
      </c>
      <c r="BO46" s="6">
        <f>SUM(Table1[[#This Row],[65 years and over - With one type of health insurance coverage]:[65 years and over - With two or more types of health insurance coverage &amp; Other coverage combinations]])</f>
        <v>642</v>
      </c>
      <c r="BP46" s="9">
        <f>(Table1[[#This Row],[65 years and over]]-Table1[[#This Row],[65 years and over - No health insurance coverage]])/Table1[[#This Row],[65 years and over]]</f>
        <v>1</v>
      </c>
      <c r="BQ46" s="9">
        <f>IFERROR(Table1[[#This Row],[Coverage Rate ( 65 years and over )]], 0)</f>
        <v>1</v>
      </c>
      <c r="BR46" s="6">
        <v>86</v>
      </c>
      <c r="BS46" s="6">
        <v>4</v>
      </c>
      <c r="BT46" s="6">
        <v>0</v>
      </c>
      <c r="BU46" s="6">
        <v>82</v>
      </c>
      <c r="BV46" s="6">
        <v>0</v>
      </c>
      <c r="BW46" s="6">
        <v>0</v>
      </c>
      <c r="BX46" s="6">
        <v>235</v>
      </c>
      <c r="BY46" s="6">
        <v>0</v>
      </c>
      <c r="BZ46" s="6">
        <v>49</v>
      </c>
      <c r="CA46" s="6">
        <v>69</v>
      </c>
      <c r="CB46" s="6">
        <v>49</v>
      </c>
      <c r="CC46" s="6">
        <v>0</v>
      </c>
      <c r="CD46" s="6">
        <v>11</v>
      </c>
      <c r="CE46" s="6">
        <v>57</v>
      </c>
      <c r="CF46" s="9">
        <f>SUM(Table1[[#This Row],[65 years and over - With one type of health insurance coverage]:[65 years and over - With two or more types of health insurance coverage &amp; Other coverage combinations]])/Table1[[#This Row],[Total]]</f>
        <v>0.43000669792364365</v>
      </c>
      <c r="CG46" s="9">
        <f>100%-Table1[[#This Row],[65 years and over - Penetration Rate]]</f>
        <v>0.56999330207635635</v>
      </c>
      <c r="CH46" s="6">
        <v>0</v>
      </c>
      <c r="CI46" s="6"/>
    </row>
    <row r="47" spans="1:87" x14ac:dyDescent="0.35">
      <c r="A47" t="s">
        <v>52</v>
      </c>
      <c r="B47">
        <v>46</v>
      </c>
      <c r="C47" s="5">
        <v>3499</v>
      </c>
      <c r="D47" s="5">
        <v>646</v>
      </c>
      <c r="E47" s="5">
        <f>SUM(Table1[[#This Row],[Under 18 years - With one type of health insurance coverage]:[Under 18 years - With two or more types of health insurance coverage &amp; Other coverage combinations]])</f>
        <v>1292</v>
      </c>
      <c r="F47" s="6">
        <v>634</v>
      </c>
      <c r="G47" s="6">
        <v>444</v>
      </c>
      <c r="H47" s="6">
        <v>101</v>
      </c>
      <c r="I47" s="6">
        <v>0</v>
      </c>
      <c r="J47" s="6">
        <v>89</v>
      </c>
      <c r="K47" s="6">
        <v>0</v>
      </c>
      <c r="L47" s="6">
        <v>0</v>
      </c>
      <c r="M47" s="6">
        <v>12</v>
      </c>
      <c r="N47" s="6">
        <v>0</v>
      </c>
      <c r="O47" s="6">
        <v>0</v>
      </c>
      <c r="P47" s="6">
        <v>0</v>
      </c>
      <c r="Q47" s="6">
        <v>0</v>
      </c>
      <c r="R47" s="6">
        <v>0</v>
      </c>
      <c r="S47" s="6">
        <v>12</v>
      </c>
      <c r="T47" s="9">
        <f>SUM(Table1[[#This Row],[Under 18 years - With one type of health insurance coverage]:[Under 18 years - With two or more types of health insurance coverage &amp; Other coverage combinations]])/Table1[[#This Row],[Total]]</f>
        <v>0.36924835667333522</v>
      </c>
      <c r="U47" s="9">
        <f>100%-Table1[[#This Row],[Under 18 years - Penetration Rate]]</f>
        <v>0.63075164332666478</v>
      </c>
      <c r="V47" s="6">
        <v>0</v>
      </c>
      <c r="W47" s="6">
        <v>667</v>
      </c>
      <c r="X47" s="6">
        <f>SUM(Table1[[#This Row],[18 to 34 years - With one type of health insurance coverage]:[18 to 34 years - With two or more types of health insurance coverage &amp; Other coverage combinations]])</f>
        <v>1002</v>
      </c>
      <c r="Y47" s="9">
        <f>(Table1[[#This Row],[18 to 34 years]] - Table1[[#This Row],[18 to 34 years - No health insurance coverage]]) / Table1[[#This Row],[18 to 34 years]]</f>
        <v>0.75112443778110949</v>
      </c>
      <c r="Z47" s="9">
        <f>IFERROR(Table1[[#This Row],[Coverage Rate ( 18 to 34 years )]], 0)</f>
        <v>0.75112443778110949</v>
      </c>
      <c r="AA47" s="6">
        <v>452</v>
      </c>
      <c r="AB47" s="6">
        <v>369</v>
      </c>
      <c r="AC47" s="6">
        <v>72</v>
      </c>
      <c r="AD47" s="6">
        <v>0</v>
      </c>
      <c r="AE47" s="6">
        <v>11</v>
      </c>
      <c r="AF47" s="6">
        <v>0</v>
      </c>
      <c r="AG47" s="6">
        <v>0</v>
      </c>
      <c r="AH47" s="6">
        <v>49</v>
      </c>
      <c r="AI47" s="6">
        <v>0</v>
      </c>
      <c r="AJ47" s="6">
        <v>0</v>
      </c>
      <c r="AK47" s="6">
        <v>31</v>
      </c>
      <c r="AL47" s="6">
        <v>0</v>
      </c>
      <c r="AM47" s="6">
        <v>0</v>
      </c>
      <c r="AN47" s="6">
        <v>18</v>
      </c>
      <c r="AO47" s="9">
        <f>SUM(Table1[[#This Row],[18 to 34 years - With one type of health insurance coverage]:[18 to 34 years - With two or more types of health insurance coverage &amp; Other coverage combinations]])/Table1[[#This Row],[Total]]</f>
        <v>0.28636753358102313</v>
      </c>
      <c r="AP47" s="9">
        <f>100%-Table1[[#This Row],[18 to 34 years - Penetration rate]]</f>
        <v>0.71363246641897682</v>
      </c>
      <c r="AQ47" s="6">
        <v>166</v>
      </c>
      <c r="AR47" s="6">
        <v>1545</v>
      </c>
      <c r="AS47" s="6">
        <f>SUM(Table1[[#This Row],[35 to 64 years - With one type of health insurance coverage]:[35 to 64 years - With two or more types of health insurance coverage &amp; Other coverage combinations]])</f>
        <v>2830</v>
      </c>
      <c r="AT47" s="9">
        <f>(Table1[[#This Row],[35 to 64 years]]-Table1[[#This Row],[35 to 64 years - No health insurance coverage]])/Table1[[#This Row],[35 to 64 years]]</f>
        <v>0.91585760517799353</v>
      </c>
      <c r="AU47" s="9">
        <f>IFERROR(Table1[[#This Row],[Coverage Rate ( 35 to 64 years )]], 0)</f>
        <v>0.91585760517799353</v>
      </c>
      <c r="AV47" s="6">
        <v>1251</v>
      </c>
      <c r="AW47" s="6">
        <v>968</v>
      </c>
      <c r="AX47" s="6">
        <v>208</v>
      </c>
      <c r="AY47" s="6">
        <v>22</v>
      </c>
      <c r="AZ47" s="6">
        <v>30</v>
      </c>
      <c r="BA47" s="6">
        <v>6</v>
      </c>
      <c r="BB47" s="6">
        <v>17</v>
      </c>
      <c r="BC47" s="6">
        <v>164</v>
      </c>
      <c r="BD47" s="6">
        <v>8</v>
      </c>
      <c r="BE47" s="6">
        <v>0</v>
      </c>
      <c r="BF47" s="6">
        <v>7</v>
      </c>
      <c r="BG47" s="6">
        <v>56</v>
      </c>
      <c r="BH47" s="6">
        <v>0</v>
      </c>
      <c r="BI47" s="6">
        <v>0</v>
      </c>
      <c r="BJ47" s="6">
        <v>93</v>
      </c>
      <c r="BK47" s="9">
        <f>SUM(Table1[[#This Row],[35 to 64 years - With one type of health insurance coverage]:[35 to 64 years - With two or more types of health insurance coverage &amp; Other coverage combinations]])/Table1[[#This Row],[Total]]</f>
        <v>0.8088025150042869</v>
      </c>
      <c r="BL47" s="9">
        <f>100%-Table1[[#This Row],[35 to 64 years - Penetration Rate]]</f>
        <v>0.1911974849957131</v>
      </c>
      <c r="BM47" s="6">
        <v>130</v>
      </c>
      <c r="BN47" s="6">
        <v>641</v>
      </c>
      <c r="BO47" s="6">
        <f>SUM(Table1[[#This Row],[65 years and over - With one type of health insurance coverage]:[65 years and over - With two or more types of health insurance coverage &amp; Other coverage combinations]])</f>
        <v>1282</v>
      </c>
      <c r="BP47" s="9">
        <f>(Table1[[#This Row],[65 years and over]]-Table1[[#This Row],[65 years and over - No health insurance coverage]])/Table1[[#This Row],[65 years and over]]</f>
        <v>1</v>
      </c>
      <c r="BQ47" s="9">
        <f>IFERROR(Table1[[#This Row],[Coverage Rate ( 65 years and over )]], 0)</f>
        <v>1</v>
      </c>
      <c r="BR47" s="6">
        <v>147</v>
      </c>
      <c r="BS47" s="6">
        <v>16</v>
      </c>
      <c r="BT47" s="6">
        <v>0</v>
      </c>
      <c r="BU47" s="6">
        <v>131</v>
      </c>
      <c r="BV47" s="6">
        <v>0</v>
      </c>
      <c r="BW47" s="6">
        <v>0</v>
      </c>
      <c r="BX47" s="6">
        <v>494</v>
      </c>
      <c r="BY47" s="6">
        <v>10</v>
      </c>
      <c r="BZ47" s="6">
        <v>203</v>
      </c>
      <c r="CA47" s="6">
        <v>211</v>
      </c>
      <c r="CB47" s="6">
        <v>16</v>
      </c>
      <c r="CC47" s="6">
        <v>0</v>
      </c>
      <c r="CD47" s="6">
        <v>0</v>
      </c>
      <c r="CE47" s="6">
        <v>54</v>
      </c>
      <c r="CF47" s="9">
        <f>SUM(Table1[[#This Row],[65 years and over - With one type of health insurance coverage]:[65 years and over - With two or more types of health insurance coverage &amp; Other coverage combinations]])/Table1[[#This Row],[Total]]</f>
        <v>0.36639039725635897</v>
      </c>
      <c r="CG47" s="9">
        <f>100%-Table1[[#This Row],[65 years and over - Penetration Rate]]</f>
        <v>0.63360960274364109</v>
      </c>
      <c r="CH47" s="6">
        <v>0</v>
      </c>
      <c r="CI47" s="6"/>
    </row>
    <row r="48" spans="1:87" x14ac:dyDescent="0.35">
      <c r="A48" t="s">
        <v>53</v>
      </c>
      <c r="B48">
        <v>47</v>
      </c>
      <c r="C48" s="5">
        <v>4643</v>
      </c>
      <c r="D48" s="5">
        <v>916</v>
      </c>
      <c r="E48" s="5">
        <f>SUM(Table1[[#This Row],[Under 18 years - With one type of health insurance coverage]:[Under 18 years - With two or more types of health insurance coverage &amp; Other coverage combinations]])</f>
        <v>1716</v>
      </c>
      <c r="F48" s="6">
        <v>628</v>
      </c>
      <c r="G48" s="6">
        <v>166</v>
      </c>
      <c r="H48" s="6">
        <v>43</v>
      </c>
      <c r="I48" s="6">
        <v>0</v>
      </c>
      <c r="J48" s="6">
        <v>419</v>
      </c>
      <c r="K48" s="6">
        <v>0</v>
      </c>
      <c r="L48" s="6">
        <v>0</v>
      </c>
      <c r="M48" s="6">
        <v>230</v>
      </c>
      <c r="N48" s="6">
        <v>13</v>
      </c>
      <c r="O48" s="6">
        <v>0</v>
      </c>
      <c r="P48" s="6">
        <v>10</v>
      </c>
      <c r="Q48" s="6">
        <v>0</v>
      </c>
      <c r="R48" s="6">
        <v>0</v>
      </c>
      <c r="S48" s="6">
        <v>207</v>
      </c>
      <c r="T48" s="9">
        <f>SUM(Table1[[#This Row],[Under 18 years - With one type of health insurance coverage]:[Under 18 years - With two or more types of health insurance coverage &amp; Other coverage combinations]])/Table1[[#This Row],[Total]]</f>
        <v>0.3695886280422141</v>
      </c>
      <c r="U48" s="9">
        <f>100%-Table1[[#This Row],[Under 18 years - Penetration Rate]]</f>
        <v>0.63041137195778596</v>
      </c>
      <c r="V48" s="6">
        <v>58</v>
      </c>
      <c r="W48" s="6">
        <v>1210</v>
      </c>
      <c r="X48" s="6">
        <f>SUM(Table1[[#This Row],[18 to 34 years - With one type of health insurance coverage]:[18 to 34 years - With two or more types of health insurance coverage &amp; Other coverage combinations]])</f>
        <v>1806</v>
      </c>
      <c r="Y48" s="9">
        <f>(Table1[[#This Row],[18 to 34 years]] - Table1[[#This Row],[18 to 34 years - No health insurance coverage]]) / Table1[[#This Row],[18 to 34 years]]</f>
        <v>0.74628099173553719</v>
      </c>
      <c r="Z48" s="9">
        <f>IFERROR(Table1[[#This Row],[Coverage Rate ( 18 to 34 years )]], 0)</f>
        <v>0.74628099173553719</v>
      </c>
      <c r="AA48" s="6">
        <v>770</v>
      </c>
      <c r="AB48" s="6">
        <v>370</v>
      </c>
      <c r="AC48" s="6">
        <v>82</v>
      </c>
      <c r="AD48" s="6">
        <v>0</v>
      </c>
      <c r="AE48" s="6">
        <v>318</v>
      </c>
      <c r="AF48" s="6">
        <v>0</v>
      </c>
      <c r="AG48" s="6">
        <v>0</v>
      </c>
      <c r="AH48" s="6">
        <v>133</v>
      </c>
      <c r="AI48" s="6">
        <v>16</v>
      </c>
      <c r="AJ48" s="6">
        <v>0</v>
      </c>
      <c r="AK48" s="6">
        <v>14</v>
      </c>
      <c r="AL48" s="6">
        <v>0</v>
      </c>
      <c r="AM48" s="6">
        <v>0</v>
      </c>
      <c r="AN48" s="6">
        <v>103</v>
      </c>
      <c r="AO48" s="9">
        <f>SUM(Table1[[#This Row],[18 to 34 years - With one type of health insurance coverage]:[18 to 34 years - With two or more types of health insurance coverage &amp; Other coverage combinations]])/Table1[[#This Row],[Total]]</f>
        <v>0.38897264699547707</v>
      </c>
      <c r="AP48" s="9">
        <f>100%-Table1[[#This Row],[18 to 34 years - Penetration rate]]</f>
        <v>0.61102735300452293</v>
      </c>
      <c r="AQ48" s="6">
        <v>307</v>
      </c>
      <c r="AR48" s="6">
        <v>1772</v>
      </c>
      <c r="AS48" s="6">
        <f>SUM(Table1[[#This Row],[35 to 64 years - With one type of health insurance coverage]:[35 to 64 years - With two or more types of health insurance coverage &amp; Other coverage combinations]])</f>
        <v>2866</v>
      </c>
      <c r="AT48" s="9">
        <f>(Table1[[#This Row],[35 to 64 years]]-Table1[[#This Row],[35 to 64 years - No health insurance coverage]])/Table1[[#This Row],[35 to 64 years]]</f>
        <v>0.80869074492099324</v>
      </c>
      <c r="AU48" s="9">
        <f>IFERROR(Table1[[#This Row],[Coverage Rate ( 35 to 64 years )]], 0)</f>
        <v>0.80869074492099324</v>
      </c>
      <c r="AV48" s="6">
        <v>1075</v>
      </c>
      <c r="AW48" s="6">
        <v>603</v>
      </c>
      <c r="AX48" s="6">
        <v>90</v>
      </c>
      <c r="AY48" s="6">
        <v>65</v>
      </c>
      <c r="AZ48" s="6">
        <v>270</v>
      </c>
      <c r="BA48" s="6">
        <v>6</v>
      </c>
      <c r="BB48" s="6">
        <v>41</v>
      </c>
      <c r="BC48" s="6">
        <v>358</v>
      </c>
      <c r="BD48" s="6">
        <v>37</v>
      </c>
      <c r="BE48" s="6">
        <v>0</v>
      </c>
      <c r="BF48" s="6">
        <v>6</v>
      </c>
      <c r="BG48" s="6">
        <v>133</v>
      </c>
      <c r="BH48" s="6">
        <v>0</v>
      </c>
      <c r="BI48" s="6">
        <v>13</v>
      </c>
      <c r="BJ48" s="6">
        <v>169</v>
      </c>
      <c r="BK48" s="9">
        <f>SUM(Table1[[#This Row],[35 to 64 years - With one type of health insurance coverage]:[35 to 64 years - With two or more types of health insurance coverage &amp; Other coverage combinations]])/Table1[[#This Row],[Total]]</f>
        <v>0.617273314667241</v>
      </c>
      <c r="BL48" s="9">
        <f>100%-Table1[[#This Row],[35 to 64 years - Penetration Rate]]</f>
        <v>0.382726685332759</v>
      </c>
      <c r="BM48" s="6">
        <v>339</v>
      </c>
      <c r="BN48" s="6">
        <v>745</v>
      </c>
      <c r="BO48" s="6">
        <f>SUM(Table1[[#This Row],[65 years and over - With one type of health insurance coverage]:[65 years and over - With two or more types of health insurance coverage &amp; Other coverage combinations]])</f>
        <v>1490</v>
      </c>
      <c r="BP48" s="9">
        <f>(Table1[[#This Row],[65 years and over]]-Table1[[#This Row],[65 years and over - No health insurance coverage]])/Table1[[#This Row],[65 years and over]]</f>
        <v>1</v>
      </c>
      <c r="BQ48" s="9">
        <f>IFERROR(Table1[[#This Row],[Coverage Rate ( 65 years and over )]], 0)</f>
        <v>1</v>
      </c>
      <c r="BR48" s="6">
        <v>186</v>
      </c>
      <c r="BS48" s="6">
        <v>15</v>
      </c>
      <c r="BT48" s="6">
        <v>0</v>
      </c>
      <c r="BU48" s="6">
        <v>171</v>
      </c>
      <c r="BV48" s="6">
        <v>0</v>
      </c>
      <c r="BW48" s="6">
        <v>0</v>
      </c>
      <c r="BX48" s="6">
        <v>559</v>
      </c>
      <c r="BY48" s="6">
        <v>0</v>
      </c>
      <c r="BZ48" s="6">
        <v>126</v>
      </c>
      <c r="CA48" s="6">
        <v>83</v>
      </c>
      <c r="CB48" s="6">
        <v>113</v>
      </c>
      <c r="CC48" s="6">
        <v>0</v>
      </c>
      <c r="CD48" s="6">
        <v>40</v>
      </c>
      <c r="CE48" s="6">
        <v>197</v>
      </c>
      <c r="CF48" s="9">
        <f>SUM(Table1[[#This Row],[65 years and over - With one type of health insurance coverage]:[65 years and over - With two or more types of health insurance coverage &amp; Other coverage combinations]])/Table1[[#This Row],[Total]]</f>
        <v>0.32091320267068707</v>
      </c>
      <c r="CG48" s="9">
        <f>100%-Table1[[#This Row],[65 years and over - Penetration Rate]]</f>
        <v>0.67908679732931287</v>
      </c>
      <c r="CH48" s="6">
        <v>0</v>
      </c>
      <c r="CI48" s="6"/>
    </row>
    <row r="49" spans="1:87" x14ac:dyDescent="0.35">
      <c r="A49" t="s">
        <v>54</v>
      </c>
      <c r="B49">
        <v>48</v>
      </c>
      <c r="C49" s="5">
        <v>2572</v>
      </c>
      <c r="D49" s="5">
        <v>420</v>
      </c>
      <c r="E49" s="5">
        <f>SUM(Table1[[#This Row],[Under 18 years - With one type of health insurance coverage]:[Under 18 years - With two or more types of health insurance coverage &amp; Other coverage combinations]])</f>
        <v>840</v>
      </c>
      <c r="F49" s="6">
        <v>393</v>
      </c>
      <c r="G49" s="6">
        <v>126</v>
      </c>
      <c r="H49" s="6">
        <v>0</v>
      </c>
      <c r="I49" s="6">
        <v>0</v>
      </c>
      <c r="J49" s="6">
        <v>267</v>
      </c>
      <c r="K49" s="6">
        <v>0</v>
      </c>
      <c r="L49" s="6">
        <v>0</v>
      </c>
      <c r="M49" s="6">
        <v>27</v>
      </c>
      <c r="N49" s="6">
        <v>0</v>
      </c>
      <c r="O49" s="6">
        <v>0</v>
      </c>
      <c r="P49" s="6">
        <v>0</v>
      </c>
      <c r="Q49" s="6">
        <v>0</v>
      </c>
      <c r="R49" s="6">
        <v>0</v>
      </c>
      <c r="S49" s="6">
        <v>27</v>
      </c>
      <c r="T49" s="9">
        <f>SUM(Table1[[#This Row],[Under 18 years - With one type of health insurance coverage]:[Under 18 years - With two or more types of health insurance coverage &amp; Other coverage combinations]])/Table1[[#This Row],[Total]]</f>
        <v>0.32659409020217728</v>
      </c>
      <c r="U49" s="9">
        <f>100%-Table1[[#This Row],[Under 18 years - Penetration Rate]]</f>
        <v>0.67340590979782267</v>
      </c>
      <c r="V49" s="6">
        <v>0</v>
      </c>
      <c r="W49" s="6">
        <v>1010</v>
      </c>
      <c r="X49" s="6">
        <f>SUM(Table1[[#This Row],[18 to 34 years - With one type of health insurance coverage]:[18 to 34 years - With two or more types of health insurance coverage &amp; Other coverage combinations]])</f>
        <v>1804</v>
      </c>
      <c r="Y49" s="9">
        <f>(Table1[[#This Row],[18 to 34 years]] - Table1[[#This Row],[18 to 34 years - No health insurance coverage]]) / Table1[[#This Row],[18 to 34 years]]</f>
        <v>0.89306930693069309</v>
      </c>
      <c r="Z49" s="9">
        <f>IFERROR(Table1[[#This Row],[Coverage Rate ( 18 to 34 years )]], 0)</f>
        <v>0.89306930693069309</v>
      </c>
      <c r="AA49" s="6">
        <v>820</v>
      </c>
      <c r="AB49" s="6">
        <v>588</v>
      </c>
      <c r="AC49" s="6">
        <v>128</v>
      </c>
      <c r="AD49" s="6">
        <v>0</v>
      </c>
      <c r="AE49" s="6">
        <v>104</v>
      </c>
      <c r="AF49" s="6">
        <v>0</v>
      </c>
      <c r="AG49" s="6">
        <v>0</v>
      </c>
      <c r="AH49" s="6">
        <v>82</v>
      </c>
      <c r="AI49" s="6">
        <v>58</v>
      </c>
      <c r="AJ49" s="6">
        <v>0</v>
      </c>
      <c r="AK49" s="6">
        <v>0</v>
      </c>
      <c r="AL49" s="6">
        <v>0</v>
      </c>
      <c r="AM49" s="6">
        <v>0</v>
      </c>
      <c r="AN49" s="6">
        <v>24</v>
      </c>
      <c r="AO49" s="9">
        <f>SUM(Table1[[#This Row],[18 to 34 years - With one type of health insurance coverage]:[18 to 34 years - With two or more types of health insurance coverage &amp; Other coverage combinations]])/Table1[[#This Row],[Total]]</f>
        <v>0.7013996889580093</v>
      </c>
      <c r="AP49" s="9">
        <f>100%-Table1[[#This Row],[18 to 34 years - Penetration rate]]</f>
        <v>0.2986003110419907</v>
      </c>
      <c r="AQ49" s="6">
        <v>108</v>
      </c>
      <c r="AR49" s="6">
        <v>770</v>
      </c>
      <c r="AS49" s="6">
        <f>SUM(Table1[[#This Row],[35 to 64 years - With one type of health insurance coverage]:[35 to 64 years - With two or more types of health insurance coverage &amp; Other coverage combinations]])</f>
        <v>1374</v>
      </c>
      <c r="AT49" s="9">
        <f>(Table1[[#This Row],[35 to 64 years]]-Table1[[#This Row],[35 to 64 years - No health insurance coverage]])/Table1[[#This Row],[35 to 64 years]]</f>
        <v>0.89220779220779223</v>
      </c>
      <c r="AU49" s="9">
        <f>IFERROR(Table1[[#This Row],[Coverage Rate ( 35 to 64 years )]], 0)</f>
        <v>0.89220779220779223</v>
      </c>
      <c r="AV49" s="6">
        <v>572</v>
      </c>
      <c r="AW49" s="6">
        <v>349</v>
      </c>
      <c r="AX49" s="6">
        <v>67</v>
      </c>
      <c r="AY49" s="6">
        <v>23</v>
      </c>
      <c r="AZ49" s="6">
        <v>123</v>
      </c>
      <c r="BA49" s="6">
        <v>0</v>
      </c>
      <c r="BB49" s="6">
        <v>10</v>
      </c>
      <c r="BC49" s="6">
        <v>115</v>
      </c>
      <c r="BD49" s="6">
        <v>0</v>
      </c>
      <c r="BE49" s="6">
        <v>20</v>
      </c>
      <c r="BF49" s="6">
        <v>0</v>
      </c>
      <c r="BG49" s="6">
        <v>17</v>
      </c>
      <c r="BH49" s="6">
        <v>0</v>
      </c>
      <c r="BI49" s="6">
        <v>0</v>
      </c>
      <c r="BJ49" s="6">
        <v>78</v>
      </c>
      <c r="BK49" s="9">
        <f>SUM(Table1[[#This Row],[35 to 64 years - With one type of health insurance coverage]:[35 to 64 years - With two or more types of health insurance coverage &amp; Other coverage combinations]])/Table1[[#This Row],[Total]]</f>
        <v>0.53421461897356148</v>
      </c>
      <c r="BL49" s="9">
        <f>100%-Table1[[#This Row],[35 to 64 years - Penetration Rate]]</f>
        <v>0.46578538102643852</v>
      </c>
      <c r="BM49" s="6">
        <v>83</v>
      </c>
      <c r="BN49" s="6">
        <v>372</v>
      </c>
      <c r="BO49" s="6">
        <f>SUM(Table1[[#This Row],[65 years and over - With one type of health insurance coverage]:[65 years and over - With two or more types of health insurance coverage &amp; Other coverage combinations]])</f>
        <v>744</v>
      </c>
      <c r="BP49" s="9">
        <f>(Table1[[#This Row],[65 years and over]]-Table1[[#This Row],[65 years and over - No health insurance coverage]])/Table1[[#This Row],[65 years and over]]</f>
        <v>1</v>
      </c>
      <c r="BQ49" s="9">
        <f>IFERROR(Table1[[#This Row],[Coverage Rate ( 65 years and over )]], 0)</f>
        <v>1</v>
      </c>
      <c r="BR49" s="6">
        <v>55</v>
      </c>
      <c r="BS49" s="6">
        <v>3</v>
      </c>
      <c r="BT49" s="6">
        <v>0</v>
      </c>
      <c r="BU49" s="6">
        <v>52</v>
      </c>
      <c r="BV49" s="6">
        <v>0</v>
      </c>
      <c r="BW49" s="6">
        <v>0</v>
      </c>
      <c r="BX49" s="6">
        <v>317</v>
      </c>
      <c r="BY49" s="6">
        <v>0</v>
      </c>
      <c r="BZ49" s="6">
        <v>87</v>
      </c>
      <c r="CA49" s="6">
        <v>115</v>
      </c>
      <c r="CB49" s="6">
        <v>16</v>
      </c>
      <c r="CC49" s="6">
        <v>0</v>
      </c>
      <c r="CD49" s="6">
        <v>0</v>
      </c>
      <c r="CE49" s="6">
        <v>99</v>
      </c>
      <c r="CF49" s="9">
        <f>SUM(Table1[[#This Row],[65 years and over - With one type of health insurance coverage]:[65 years and over - With two or more types of health insurance coverage &amp; Other coverage combinations]])/Table1[[#This Row],[Total]]</f>
        <v>0.28926905132192848</v>
      </c>
      <c r="CG49" s="9">
        <f>100%-Table1[[#This Row],[65 years and over - Penetration Rate]]</f>
        <v>0.71073094867807152</v>
      </c>
      <c r="CH49" s="6">
        <v>0</v>
      </c>
      <c r="CI49" s="6"/>
    </row>
    <row r="50" spans="1:87" x14ac:dyDescent="0.35">
      <c r="A50" t="s">
        <v>55</v>
      </c>
      <c r="B50">
        <v>49</v>
      </c>
      <c r="C50" s="5">
        <v>1944</v>
      </c>
      <c r="D50" s="5">
        <v>290</v>
      </c>
      <c r="E50" s="5">
        <f>SUM(Table1[[#This Row],[Under 18 years - With one type of health insurance coverage]:[Under 18 years - With two or more types of health insurance coverage &amp; Other coverage combinations]])</f>
        <v>580</v>
      </c>
      <c r="F50" s="6">
        <v>276</v>
      </c>
      <c r="G50" s="6">
        <v>150</v>
      </c>
      <c r="H50" s="6">
        <v>20</v>
      </c>
      <c r="I50" s="6">
        <v>0</v>
      </c>
      <c r="J50" s="6">
        <v>106</v>
      </c>
      <c r="K50" s="6">
        <v>0</v>
      </c>
      <c r="L50" s="6">
        <v>0</v>
      </c>
      <c r="M50" s="6">
        <v>14</v>
      </c>
      <c r="N50" s="6">
        <v>8</v>
      </c>
      <c r="O50" s="6">
        <v>0</v>
      </c>
      <c r="P50" s="6">
        <v>6</v>
      </c>
      <c r="Q50" s="6">
        <v>0</v>
      </c>
      <c r="R50" s="6">
        <v>0</v>
      </c>
      <c r="S50" s="6">
        <v>0</v>
      </c>
      <c r="T50" s="9">
        <f>SUM(Table1[[#This Row],[Under 18 years - With one type of health insurance coverage]:[Under 18 years - With two or more types of health insurance coverage &amp; Other coverage combinations]])/Table1[[#This Row],[Total]]</f>
        <v>0.29835390946502055</v>
      </c>
      <c r="U50" s="9">
        <f>100%-Table1[[#This Row],[Under 18 years - Penetration Rate]]</f>
        <v>0.70164609053497951</v>
      </c>
      <c r="V50" s="6">
        <v>0</v>
      </c>
      <c r="W50" s="6">
        <v>622</v>
      </c>
      <c r="X50" s="6">
        <f>SUM(Table1[[#This Row],[18 to 34 years - With one type of health insurance coverage]:[18 to 34 years - With two or more types of health insurance coverage &amp; Other coverage combinations]])</f>
        <v>940</v>
      </c>
      <c r="Y50" s="9">
        <f>(Table1[[#This Row],[18 to 34 years]] - Table1[[#This Row],[18 to 34 years - No health insurance coverage]]) / Table1[[#This Row],[18 to 34 years]]</f>
        <v>0.75562700964630225</v>
      </c>
      <c r="Z50" s="9">
        <f>IFERROR(Table1[[#This Row],[Coverage Rate ( 18 to 34 years )]], 0)</f>
        <v>0.75562700964630225</v>
      </c>
      <c r="AA50" s="6">
        <v>444</v>
      </c>
      <c r="AB50" s="6">
        <v>380</v>
      </c>
      <c r="AC50" s="6">
        <v>46</v>
      </c>
      <c r="AD50" s="6">
        <v>1</v>
      </c>
      <c r="AE50" s="6">
        <v>17</v>
      </c>
      <c r="AF50" s="6">
        <v>0</v>
      </c>
      <c r="AG50" s="6">
        <v>0</v>
      </c>
      <c r="AH50" s="6">
        <v>26</v>
      </c>
      <c r="AI50" s="6">
        <v>18</v>
      </c>
      <c r="AJ50" s="6">
        <v>0</v>
      </c>
      <c r="AK50" s="6">
        <v>7</v>
      </c>
      <c r="AL50" s="6">
        <v>0</v>
      </c>
      <c r="AM50" s="6">
        <v>0</v>
      </c>
      <c r="AN50" s="6">
        <v>1</v>
      </c>
      <c r="AO50" s="9">
        <f>SUM(Table1[[#This Row],[18 to 34 years - With one type of health insurance coverage]:[18 to 34 years - With two or more types of health insurance coverage &amp; Other coverage combinations]])/Table1[[#This Row],[Total]]</f>
        <v>0.48353909465020578</v>
      </c>
      <c r="AP50" s="9">
        <f>100%-Table1[[#This Row],[18 to 34 years - Penetration rate]]</f>
        <v>0.51646090534979416</v>
      </c>
      <c r="AQ50" s="6">
        <v>152</v>
      </c>
      <c r="AR50" s="6">
        <v>782</v>
      </c>
      <c r="AS50" s="6">
        <f>SUM(Table1[[#This Row],[35 to 64 years - With one type of health insurance coverage]:[35 to 64 years - With two or more types of health insurance coverage &amp; Other coverage combinations]])</f>
        <v>1396</v>
      </c>
      <c r="AT50" s="9">
        <f>(Table1[[#This Row],[35 to 64 years]]-Table1[[#This Row],[35 to 64 years - No health insurance coverage]])/Table1[[#This Row],[35 to 64 years]]</f>
        <v>0.89258312020460362</v>
      </c>
      <c r="AU50" s="9">
        <f>IFERROR(Table1[[#This Row],[Coverage Rate ( 35 to 64 years )]], 0)</f>
        <v>0.89258312020460362</v>
      </c>
      <c r="AV50" s="6">
        <v>570</v>
      </c>
      <c r="AW50" s="6">
        <v>318</v>
      </c>
      <c r="AX50" s="6">
        <v>79</v>
      </c>
      <c r="AY50" s="6">
        <v>10</v>
      </c>
      <c r="AZ50" s="6">
        <v>108</v>
      </c>
      <c r="BA50" s="6">
        <v>0</v>
      </c>
      <c r="BB50" s="6">
        <v>55</v>
      </c>
      <c r="BC50" s="6">
        <v>128</v>
      </c>
      <c r="BD50" s="6">
        <v>24</v>
      </c>
      <c r="BE50" s="6">
        <v>0</v>
      </c>
      <c r="BF50" s="6">
        <v>15</v>
      </c>
      <c r="BG50" s="6">
        <v>63</v>
      </c>
      <c r="BH50" s="6">
        <v>0</v>
      </c>
      <c r="BI50" s="6">
        <v>0</v>
      </c>
      <c r="BJ50" s="6">
        <v>26</v>
      </c>
      <c r="BK50" s="9">
        <f>SUM(Table1[[#This Row],[35 to 64 years - With one type of health insurance coverage]:[35 to 64 years - With two or more types of health insurance coverage &amp; Other coverage combinations]])/Table1[[#This Row],[Total]]</f>
        <v>0.71810699588477367</v>
      </c>
      <c r="BL50" s="9">
        <f>100%-Table1[[#This Row],[35 to 64 years - Penetration Rate]]</f>
        <v>0.28189300411522633</v>
      </c>
      <c r="BM50" s="6">
        <v>84</v>
      </c>
      <c r="BN50" s="6">
        <v>250</v>
      </c>
      <c r="BO50" s="6">
        <f>SUM(Table1[[#This Row],[65 years and over - With one type of health insurance coverage]:[65 years and over - With two or more types of health insurance coverage &amp; Other coverage combinations]])</f>
        <v>500</v>
      </c>
      <c r="BP50" s="9">
        <f>(Table1[[#This Row],[65 years and over]]-Table1[[#This Row],[65 years and over - No health insurance coverage]])/Table1[[#This Row],[65 years and over]]</f>
        <v>1</v>
      </c>
      <c r="BQ50" s="9">
        <f>IFERROR(Table1[[#This Row],[Coverage Rate ( 65 years and over )]], 0)</f>
        <v>1</v>
      </c>
      <c r="BR50" s="6">
        <v>141</v>
      </c>
      <c r="BS50" s="6">
        <v>0</v>
      </c>
      <c r="BT50" s="6">
        <v>0</v>
      </c>
      <c r="BU50" s="6">
        <v>141</v>
      </c>
      <c r="BV50" s="6">
        <v>0</v>
      </c>
      <c r="BW50" s="6">
        <v>0</v>
      </c>
      <c r="BX50" s="6">
        <v>109</v>
      </c>
      <c r="BY50" s="6">
        <v>0</v>
      </c>
      <c r="BZ50" s="6">
        <v>29</v>
      </c>
      <c r="CA50" s="6">
        <v>0</v>
      </c>
      <c r="CB50" s="6">
        <v>17</v>
      </c>
      <c r="CC50" s="6">
        <v>0</v>
      </c>
      <c r="CD50" s="6">
        <v>9</v>
      </c>
      <c r="CE50" s="6">
        <v>54</v>
      </c>
      <c r="CF50" s="9">
        <f>SUM(Table1[[#This Row],[65 years and over - With one type of health insurance coverage]:[65 years and over - With two or more types of health insurance coverage &amp; Other coverage combinations]])/Table1[[#This Row],[Total]]</f>
        <v>0.25720164609053497</v>
      </c>
      <c r="CG50" s="9">
        <f>100%-Table1[[#This Row],[65 years and over - Penetration Rate]]</f>
        <v>0.74279835390946503</v>
      </c>
      <c r="CH50" s="6">
        <v>0</v>
      </c>
      <c r="CI50" s="6"/>
    </row>
    <row r="51" spans="1:87" x14ac:dyDescent="0.35">
      <c r="A51" t="s">
        <v>56</v>
      </c>
      <c r="B51">
        <v>50</v>
      </c>
      <c r="C51" s="5">
        <v>4060</v>
      </c>
      <c r="D51" s="5">
        <v>1018</v>
      </c>
      <c r="E51" s="5">
        <f>SUM(Table1[[#This Row],[Under 18 years - With one type of health insurance coverage]:[Under 18 years - With two or more types of health insurance coverage &amp; Other coverage combinations]])</f>
        <v>1918</v>
      </c>
      <c r="F51" s="6">
        <v>911</v>
      </c>
      <c r="G51" s="6">
        <v>135</v>
      </c>
      <c r="H51" s="6">
        <v>35</v>
      </c>
      <c r="I51" s="6">
        <v>11</v>
      </c>
      <c r="J51" s="6">
        <v>730</v>
      </c>
      <c r="K51" s="6">
        <v>0</v>
      </c>
      <c r="L51" s="6">
        <v>0</v>
      </c>
      <c r="M51" s="6">
        <v>48</v>
      </c>
      <c r="N51" s="6">
        <v>27</v>
      </c>
      <c r="O51" s="6">
        <v>0</v>
      </c>
      <c r="P51" s="6">
        <v>0</v>
      </c>
      <c r="Q51" s="6">
        <v>0</v>
      </c>
      <c r="R51" s="6">
        <v>0</v>
      </c>
      <c r="S51" s="6">
        <v>21</v>
      </c>
      <c r="T51" s="9">
        <f>SUM(Table1[[#This Row],[Under 18 years - With one type of health insurance coverage]:[Under 18 years - With two or more types of health insurance coverage &amp; Other coverage combinations]])/Table1[[#This Row],[Total]]</f>
        <v>0.47241379310344828</v>
      </c>
      <c r="U51" s="9">
        <f>100%-Table1[[#This Row],[Under 18 years - Penetration Rate]]</f>
        <v>0.52758620689655178</v>
      </c>
      <c r="V51" s="6">
        <v>59</v>
      </c>
      <c r="W51" s="6">
        <v>1166</v>
      </c>
      <c r="X51" s="6">
        <f>SUM(Table1[[#This Row],[18 to 34 years - With one type of health insurance coverage]:[18 to 34 years - With two or more types of health insurance coverage &amp; Other coverage combinations]])</f>
        <v>1790</v>
      </c>
      <c r="Y51" s="9">
        <f>(Table1[[#This Row],[18 to 34 years]] - Table1[[#This Row],[18 to 34 years - No health insurance coverage]]) / Table1[[#This Row],[18 to 34 years]]</f>
        <v>0.76758147512864494</v>
      </c>
      <c r="Z51" s="9">
        <f>IFERROR(Table1[[#This Row],[Coverage Rate ( 18 to 34 years )]], 0)</f>
        <v>0.76758147512864494</v>
      </c>
      <c r="AA51" s="6">
        <v>838</v>
      </c>
      <c r="AB51" s="6">
        <v>545</v>
      </c>
      <c r="AC51" s="6">
        <v>30</v>
      </c>
      <c r="AD51" s="6">
        <v>0</v>
      </c>
      <c r="AE51" s="6">
        <v>248</v>
      </c>
      <c r="AF51" s="6">
        <v>15</v>
      </c>
      <c r="AG51" s="6">
        <v>0</v>
      </c>
      <c r="AH51" s="6">
        <v>57</v>
      </c>
      <c r="AI51" s="6">
        <v>29</v>
      </c>
      <c r="AJ51" s="6">
        <v>0</v>
      </c>
      <c r="AK51" s="6">
        <v>2</v>
      </c>
      <c r="AL51" s="6">
        <v>0</v>
      </c>
      <c r="AM51" s="6">
        <v>6</v>
      </c>
      <c r="AN51" s="6">
        <v>20</v>
      </c>
      <c r="AO51" s="9">
        <f>SUM(Table1[[#This Row],[18 to 34 years - With one type of health insurance coverage]:[18 to 34 years - With two or more types of health insurance coverage &amp; Other coverage combinations]])/Table1[[#This Row],[Total]]</f>
        <v>0.44088669950738918</v>
      </c>
      <c r="AP51" s="9">
        <f>100%-Table1[[#This Row],[18 to 34 years - Penetration rate]]</f>
        <v>0.55911330049261077</v>
      </c>
      <c r="AQ51" s="6">
        <v>271</v>
      </c>
      <c r="AR51" s="6">
        <v>1392</v>
      </c>
      <c r="AS51" s="6">
        <f>SUM(Table1[[#This Row],[35 to 64 years - With one type of health insurance coverage]:[35 to 64 years - With two or more types of health insurance coverage &amp; Other coverage combinations]])</f>
        <v>2352</v>
      </c>
      <c r="AT51" s="9">
        <f>(Table1[[#This Row],[35 to 64 years]]-Table1[[#This Row],[35 to 64 years - No health insurance coverage]])/Table1[[#This Row],[35 to 64 years]]</f>
        <v>0.84482758620689657</v>
      </c>
      <c r="AU51" s="9">
        <f>IFERROR(Table1[[#This Row],[Coverage Rate ( 35 to 64 years )]], 0)</f>
        <v>0.84482758620689657</v>
      </c>
      <c r="AV51" s="6">
        <v>953</v>
      </c>
      <c r="AW51" s="6">
        <v>704</v>
      </c>
      <c r="AX51" s="6">
        <v>73</v>
      </c>
      <c r="AY51" s="6">
        <v>12</v>
      </c>
      <c r="AZ51" s="6">
        <v>150</v>
      </c>
      <c r="BA51" s="6">
        <v>0</v>
      </c>
      <c r="BB51" s="6">
        <v>14</v>
      </c>
      <c r="BC51" s="6">
        <v>223</v>
      </c>
      <c r="BD51" s="6">
        <v>62</v>
      </c>
      <c r="BE51" s="6">
        <v>12</v>
      </c>
      <c r="BF51" s="6">
        <v>12</v>
      </c>
      <c r="BG51" s="6">
        <v>41</v>
      </c>
      <c r="BH51" s="6">
        <v>0</v>
      </c>
      <c r="BI51" s="6">
        <v>0</v>
      </c>
      <c r="BJ51" s="6">
        <v>96</v>
      </c>
      <c r="BK51" s="9">
        <f>SUM(Table1[[#This Row],[35 to 64 years - With one type of health insurance coverage]:[35 to 64 years - With two or more types of health insurance coverage &amp; Other coverage combinations]])/Table1[[#This Row],[Total]]</f>
        <v>0.57931034482758625</v>
      </c>
      <c r="BL51" s="9">
        <f>100%-Table1[[#This Row],[35 to 64 years - Penetration Rate]]</f>
        <v>0.42068965517241375</v>
      </c>
      <c r="BM51" s="6">
        <v>216</v>
      </c>
      <c r="BN51" s="6">
        <v>484</v>
      </c>
      <c r="BO51" s="6">
        <f>SUM(Table1[[#This Row],[65 years and over - With one type of health insurance coverage]:[65 years and over - With two or more types of health insurance coverage &amp; Other coverage combinations]])</f>
        <v>968</v>
      </c>
      <c r="BP51" s="9">
        <f>(Table1[[#This Row],[65 years and over]]-Table1[[#This Row],[65 years and over - No health insurance coverage]])/Table1[[#This Row],[65 years and over]]</f>
        <v>1</v>
      </c>
      <c r="BQ51" s="9">
        <f>IFERROR(Table1[[#This Row],[Coverage Rate ( 65 years and over )]], 0)</f>
        <v>1</v>
      </c>
      <c r="BR51" s="6">
        <v>69</v>
      </c>
      <c r="BS51" s="6">
        <v>22</v>
      </c>
      <c r="BT51" s="6">
        <v>0</v>
      </c>
      <c r="BU51" s="6">
        <v>47</v>
      </c>
      <c r="BV51" s="6">
        <v>0</v>
      </c>
      <c r="BW51" s="6">
        <v>0</v>
      </c>
      <c r="BX51" s="6">
        <v>415</v>
      </c>
      <c r="BY51" s="6">
        <v>0</v>
      </c>
      <c r="BZ51" s="6">
        <v>65</v>
      </c>
      <c r="CA51" s="6">
        <v>172</v>
      </c>
      <c r="CB51" s="6">
        <v>72</v>
      </c>
      <c r="CC51" s="6">
        <v>0</v>
      </c>
      <c r="CD51" s="6">
        <v>8</v>
      </c>
      <c r="CE51" s="6">
        <v>98</v>
      </c>
      <c r="CF51" s="9">
        <f>SUM(Table1[[#This Row],[65 years and over - With one type of health insurance coverage]:[65 years and over - With two or more types of health insurance coverage &amp; Other coverage combinations]])/Table1[[#This Row],[Total]]</f>
        <v>0.23842364532019705</v>
      </c>
      <c r="CG51" s="9">
        <f>100%-Table1[[#This Row],[65 years and over - Penetration Rate]]</f>
        <v>0.76157635467980289</v>
      </c>
      <c r="CH51" s="6">
        <v>0</v>
      </c>
      <c r="CI51" s="6"/>
    </row>
    <row r="52" spans="1:87" x14ac:dyDescent="0.35">
      <c r="A52" t="s">
        <v>57</v>
      </c>
      <c r="B52">
        <v>51</v>
      </c>
      <c r="C52" s="5">
        <v>1755</v>
      </c>
      <c r="D52" s="5">
        <v>211</v>
      </c>
      <c r="E52" s="5">
        <f>SUM(Table1[[#This Row],[Under 18 years - With one type of health insurance coverage]:[Under 18 years - With two or more types of health insurance coverage &amp; Other coverage combinations]])</f>
        <v>412</v>
      </c>
      <c r="F52" s="6">
        <v>201</v>
      </c>
      <c r="G52" s="6">
        <v>65</v>
      </c>
      <c r="H52" s="6">
        <v>12</v>
      </c>
      <c r="I52" s="6">
        <v>0</v>
      </c>
      <c r="J52" s="6">
        <v>124</v>
      </c>
      <c r="K52" s="6">
        <v>0</v>
      </c>
      <c r="L52" s="6">
        <v>0</v>
      </c>
      <c r="M52" s="6">
        <v>5</v>
      </c>
      <c r="N52" s="6">
        <v>5</v>
      </c>
      <c r="O52" s="6">
        <v>0</v>
      </c>
      <c r="P52" s="6">
        <v>0</v>
      </c>
      <c r="Q52" s="6">
        <v>0</v>
      </c>
      <c r="R52" s="6">
        <v>0</v>
      </c>
      <c r="S52" s="6">
        <v>0</v>
      </c>
      <c r="T52" s="9">
        <f>SUM(Table1[[#This Row],[Under 18 years - With one type of health insurance coverage]:[Under 18 years - With two or more types of health insurance coverage &amp; Other coverage combinations]])/Table1[[#This Row],[Total]]</f>
        <v>0.23475783475783477</v>
      </c>
      <c r="U52" s="9">
        <f>100%-Table1[[#This Row],[Under 18 years - Penetration Rate]]</f>
        <v>0.76524216524216526</v>
      </c>
      <c r="V52" s="6">
        <v>5</v>
      </c>
      <c r="W52" s="6">
        <v>450</v>
      </c>
      <c r="X52" s="6">
        <f>SUM(Table1[[#This Row],[18 to 34 years - With one type of health insurance coverage]:[18 to 34 years - With two or more types of health insurance coverage &amp; Other coverage combinations]])</f>
        <v>720</v>
      </c>
      <c r="Y52" s="9">
        <f>(Table1[[#This Row],[18 to 34 years]] - Table1[[#This Row],[18 to 34 years - No health insurance coverage]]) / Table1[[#This Row],[18 to 34 years]]</f>
        <v>0.8</v>
      </c>
      <c r="Z52" s="9">
        <f>IFERROR(Table1[[#This Row],[Coverage Rate ( 18 to 34 years )]], 0)</f>
        <v>0.8</v>
      </c>
      <c r="AA52" s="6">
        <v>342</v>
      </c>
      <c r="AB52" s="6">
        <v>135</v>
      </c>
      <c r="AC52" s="6">
        <v>88</v>
      </c>
      <c r="AD52" s="6">
        <v>0</v>
      </c>
      <c r="AE52" s="6">
        <v>112</v>
      </c>
      <c r="AF52" s="6">
        <v>7</v>
      </c>
      <c r="AG52" s="6">
        <v>0</v>
      </c>
      <c r="AH52" s="6">
        <v>18</v>
      </c>
      <c r="AI52" s="6">
        <v>6</v>
      </c>
      <c r="AJ52" s="6">
        <v>0</v>
      </c>
      <c r="AK52" s="6">
        <v>12</v>
      </c>
      <c r="AL52" s="6">
        <v>0</v>
      </c>
      <c r="AM52" s="6">
        <v>0</v>
      </c>
      <c r="AN52" s="6">
        <v>0</v>
      </c>
      <c r="AO52" s="9">
        <f>SUM(Table1[[#This Row],[18 to 34 years - With one type of health insurance coverage]:[18 to 34 years - With two or more types of health insurance coverage &amp; Other coverage combinations]])/Table1[[#This Row],[Total]]</f>
        <v>0.41025641025641024</v>
      </c>
      <c r="AP52" s="9">
        <f>100%-Table1[[#This Row],[18 to 34 years - Penetration rate]]</f>
        <v>0.58974358974358976</v>
      </c>
      <c r="AQ52" s="6">
        <v>90</v>
      </c>
      <c r="AR52" s="6">
        <v>719</v>
      </c>
      <c r="AS52" s="6">
        <f>SUM(Table1[[#This Row],[35 to 64 years - With one type of health insurance coverage]:[35 to 64 years - With two or more types of health insurance coverage &amp; Other coverage combinations]])</f>
        <v>1258</v>
      </c>
      <c r="AT52" s="9">
        <f>(Table1[[#This Row],[35 to 64 years]]-Table1[[#This Row],[35 to 64 years - No health insurance coverage]])/Table1[[#This Row],[35 to 64 years]]</f>
        <v>0.87482614742698195</v>
      </c>
      <c r="AU52" s="9">
        <f>IFERROR(Table1[[#This Row],[Coverage Rate ( 35 to 64 years )]], 0)</f>
        <v>0.87482614742698195</v>
      </c>
      <c r="AV52" s="6">
        <v>495</v>
      </c>
      <c r="AW52" s="6">
        <v>266</v>
      </c>
      <c r="AX52" s="6">
        <v>58</v>
      </c>
      <c r="AY52" s="6">
        <v>5</v>
      </c>
      <c r="AZ52" s="6">
        <v>166</v>
      </c>
      <c r="BA52" s="6">
        <v>0</v>
      </c>
      <c r="BB52" s="6">
        <v>0</v>
      </c>
      <c r="BC52" s="6">
        <v>134</v>
      </c>
      <c r="BD52" s="6">
        <v>17</v>
      </c>
      <c r="BE52" s="6">
        <v>0</v>
      </c>
      <c r="BF52" s="6">
        <v>0</v>
      </c>
      <c r="BG52" s="6">
        <v>41</v>
      </c>
      <c r="BH52" s="6">
        <v>5</v>
      </c>
      <c r="BI52" s="6">
        <v>0</v>
      </c>
      <c r="BJ52" s="6">
        <v>71</v>
      </c>
      <c r="BK52" s="9">
        <f>SUM(Table1[[#This Row],[35 to 64 years - With one type of health insurance coverage]:[35 to 64 years - With two or more types of health insurance coverage &amp; Other coverage combinations]])/Table1[[#This Row],[Total]]</f>
        <v>0.71680911680911685</v>
      </c>
      <c r="BL52" s="9">
        <f>100%-Table1[[#This Row],[35 to 64 years - Penetration Rate]]</f>
        <v>0.28319088319088315</v>
      </c>
      <c r="BM52" s="6">
        <v>90</v>
      </c>
      <c r="BN52" s="6">
        <v>375</v>
      </c>
      <c r="BO52" s="6">
        <f>SUM(Table1[[#This Row],[65 years and over - With one type of health insurance coverage]:[65 years and over - With two or more types of health insurance coverage &amp; Other coverage combinations]])</f>
        <v>744</v>
      </c>
      <c r="BP52" s="9">
        <f>(Table1[[#This Row],[65 years and over]]-Table1[[#This Row],[65 years and over - No health insurance coverage]])/Table1[[#This Row],[65 years and over]]</f>
        <v>0.99199999999999999</v>
      </c>
      <c r="BQ52" s="9">
        <f>IFERROR(Table1[[#This Row],[Coverage Rate ( 65 years and over )]], 0)</f>
        <v>0.99199999999999999</v>
      </c>
      <c r="BR52" s="6">
        <v>131</v>
      </c>
      <c r="BS52" s="6">
        <v>7</v>
      </c>
      <c r="BT52" s="6">
        <v>0</v>
      </c>
      <c r="BU52" s="6">
        <v>124</v>
      </c>
      <c r="BV52" s="6">
        <v>0</v>
      </c>
      <c r="BW52" s="6">
        <v>0</v>
      </c>
      <c r="BX52" s="6">
        <v>241</v>
      </c>
      <c r="BY52" s="6">
        <v>0</v>
      </c>
      <c r="BZ52" s="6">
        <v>3</v>
      </c>
      <c r="CA52" s="6">
        <v>26</v>
      </c>
      <c r="CB52" s="6">
        <v>125</v>
      </c>
      <c r="CC52" s="6">
        <v>0</v>
      </c>
      <c r="CD52" s="6">
        <v>31</v>
      </c>
      <c r="CE52" s="6">
        <v>56</v>
      </c>
      <c r="CF52" s="9">
        <f>SUM(Table1[[#This Row],[65 years and over - With one type of health insurance coverage]:[65 years and over - With two or more types of health insurance coverage &amp; Other coverage combinations]])/Table1[[#This Row],[Total]]</f>
        <v>0.42393162393162392</v>
      </c>
      <c r="CG52" s="9">
        <f>100%-Table1[[#This Row],[65 years and over - Penetration Rate]]</f>
        <v>0.57606837606837602</v>
      </c>
      <c r="CH52" s="6">
        <v>3</v>
      </c>
      <c r="CI52" s="6"/>
    </row>
    <row r="53" spans="1:87" x14ac:dyDescent="0.35">
      <c r="A53" t="s">
        <v>58</v>
      </c>
      <c r="B53">
        <v>52</v>
      </c>
      <c r="C53" s="5">
        <v>3262</v>
      </c>
      <c r="D53" s="5">
        <v>519</v>
      </c>
      <c r="E53" s="5">
        <f>SUM(Table1[[#This Row],[Under 18 years - With one type of health insurance coverage]:[Under 18 years - With two or more types of health insurance coverage &amp; Other coverage combinations]])</f>
        <v>1018</v>
      </c>
      <c r="F53" s="6">
        <v>467</v>
      </c>
      <c r="G53" s="6">
        <v>343</v>
      </c>
      <c r="H53" s="6">
        <v>10</v>
      </c>
      <c r="I53" s="6">
        <v>0</v>
      </c>
      <c r="J53" s="6">
        <v>114</v>
      </c>
      <c r="K53" s="6">
        <v>0</v>
      </c>
      <c r="L53" s="6">
        <v>0</v>
      </c>
      <c r="M53" s="6">
        <v>42</v>
      </c>
      <c r="N53" s="6">
        <v>0</v>
      </c>
      <c r="O53" s="6">
        <v>0</v>
      </c>
      <c r="P53" s="6">
        <v>0</v>
      </c>
      <c r="Q53" s="6">
        <v>0</v>
      </c>
      <c r="R53" s="6">
        <v>0</v>
      </c>
      <c r="S53" s="6">
        <v>42</v>
      </c>
      <c r="T53" s="9">
        <f>SUM(Table1[[#This Row],[Under 18 years - With one type of health insurance coverage]:[Under 18 years - With two or more types of health insurance coverage &amp; Other coverage combinations]])/Table1[[#This Row],[Total]]</f>
        <v>0.31207847946045369</v>
      </c>
      <c r="U53" s="9">
        <f>100%-Table1[[#This Row],[Under 18 years - Penetration Rate]]</f>
        <v>0.68792152053954636</v>
      </c>
      <c r="V53" s="6">
        <v>10</v>
      </c>
      <c r="W53" s="6">
        <v>885</v>
      </c>
      <c r="X53" s="6">
        <f>SUM(Table1[[#This Row],[18 to 34 years - With one type of health insurance coverage]:[18 to 34 years - With two or more types of health insurance coverage &amp; Other coverage combinations]])</f>
        <v>1446</v>
      </c>
      <c r="Y53" s="9">
        <f>(Table1[[#This Row],[18 to 34 years]] - Table1[[#This Row],[18 to 34 years - No health insurance coverage]]) / Table1[[#This Row],[18 to 34 years]]</f>
        <v>0.81694915254237288</v>
      </c>
      <c r="Z53" s="9">
        <f>IFERROR(Table1[[#This Row],[Coverage Rate ( 18 to 34 years )]], 0)</f>
        <v>0.81694915254237288</v>
      </c>
      <c r="AA53" s="6">
        <v>723</v>
      </c>
      <c r="AB53" s="6">
        <v>563</v>
      </c>
      <c r="AC53" s="6">
        <v>71</v>
      </c>
      <c r="AD53" s="6">
        <v>0</v>
      </c>
      <c r="AE53" s="6">
        <v>81</v>
      </c>
      <c r="AF53" s="6">
        <v>0</v>
      </c>
      <c r="AG53" s="6">
        <v>8</v>
      </c>
      <c r="AH53" s="6">
        <v>0</v>
      </c>
      <c r="AI53" s="6">
        <v>0</v>
      </c>
      <c r="AJ53" s="6">
        <v>0</v>
      </c>
      <c r="AK53" s="6">
        <v>0</v>
      </c>
      <c r="AL53" s="6">
        <v>0</v>
      </c>
      <c r="AM53" s="6">
        <v>0</v>
      </c>
      <c r="AN53" s="6">
        <v>0</v>
      </c>
      <c r="AO53" s="9">
        <f>SUM(Table1[[#This Row],[18 to 34 years - With one type of health insurance coverage]:[18 to 34 years - With two or more types of health insurance coverage &amp; Other coverage combinations]])/Table1[[#This Row],[Total]]</f>
        <v>0.44328632740649909</v>
      </c>
      <c r="AP53" s="9">
        <f>100%-Table1[[#This Row],[18 to 34 years - Penetration rate]]</f>
        <v>0.55671367259350091</v>
      </c>
      <c r="AQ53" s="6">
        <v>162</v>
      </c>
      <c r="AR53" s="6">
        <v>1304</v>
      </c>
      <c r="AS53" s="6">
        <f>SUM(Table1[[#This Row],[35 to 64 years - With one type of health insurance coverage]:[35 to 64 years - With two or more types of health insurance coverage &amp; Other coverage combinations]])</f>
        <v>2274</v>
      </c>
      <c r="AT53" s="9">
        <f>(Table1[[#This Row],[35 to 64 years]]-Table1[[#This Row],[35 to 64 years - No health insurance coverage]])/Table1[[#This Row],[35 to 64 years]]</f>
        <v>0.87193251533742333</v>
      </c>
      <c r="AU53" s="9">
        <f>IFERROR(Table1[[#This Row],[Coverage Rate ( 35 to 64 years )]], 0)</f>
        <v>0.87193251533742333</v>
      </c>
      <c r="AV53" s="6">
        <v>1011</v>
      </c>
      <c r="AW53" s="6">
        <v>832</v>
      </c>
      <c r="AX53" s="6">
        <v>72</v>
      </c>
      <c r="AY53" s="6">
        <v>32</v>
      </c>
      <c r="AZ53" s="6">
        <v>52</v>
      </c>
      <c r="BA53" s="6">
        <v>8</v>
      </c>
      <c r="BB53" s="6">
        <v>15</v>
      </c>
      <c r="BC53" s="6">
        <v>126</v>
      </c>
      <c r="BD53" s="6">
        <v>7</v>
      </c>
      <c r="BE53" s="6">
        <v>0</v>
      </c>
      <c r="BF53" s="6">
        <v>0</v>
      </c>
      <c r="BG53" s="6">
        <v>28</v>
      </c>
      <c r="BH53" s="6">
        <v>0</v>
      </c>
      <c r="BI53" s="6">
        <v>9</v>
      </c>
      <c r="BJ53" s="6">
        <v>82</v>
      </c>
      <c r="BK53" s="9">
        <f>SUM(Table1[[#This Row],[35 to 64 years - With one type of health insurance coverage]:[35 to 64 years - With two or more types of health insurance coverage &amp; Other coverage combinations]])/Table1[[#This Row],[Total]]</f>
        <v>0.69711833231146536</v>
      </c>
      <c r="BL53" s="9">
        <f>100%-Table1[[#This Row],[35 to 64 years - Penetration Rate]]</f>
        <v>0.30288166768853464</v>
      </c>
      <c r="BM53" s="6">
        <v>167</v>
      </c>
      <c r="BN53" s="6">
        <v>554</v>
      </c>
      <c r="BO53" s="6">
        <f>SUM(Table1[[#This Row],[65 years and over - With one type of health insurance coverage]:[65 years and over - With two or more types of health insurance coverage &amp; Other coverage combinations]])</f>
        <v>1108</v>
      </c>
      <c r="BP53" s="9">
        <f>(Table1[[#This Row],[65 years and over]]-Table1[[#This Row],[65 years and over - No health insurance coverage]])/Table1[[#This Row],[65 years and over]]</f>
        <v>1</v>
      </c>
      <c r="BQ53" s="9">
        <f>IFERROR(Table1[[#This Row],[Coverage Rate ( 65 years and over )]], 0)</f>
        <v>1</v>
      </c>
      <c r="BR53" s="6">
        <v>154</v>
      </c>
      <c r="BS53" s="6">
        <v>0</v>
      </c>
      <c r="BT53" s="6">
        <v>0</v>
      </c>
      <c r="BU53" s="6">
        <v>154</v>
      </c>
      <c r="BV53" s="6">
        <v>0</v>
      </c>
      <c r="BW53" s="6">
        <v>0</v>
      </c>
      <c r="BX53" s="6">
        <v>400</v>
      </c>
      <c r="BY53" s="6">
        <v>0</v>
      </c>
      <c r="BZ53" s="6">
        <v>101</v>
      </c>
      <c r="CA53" s="6">
        <v>100</v>
      </c>
      <c r="CB53" s="6">
        <v>78</v>
      </c>
      <c r="CC53" s="6">
        <v>0</v>
      </c>
      <c r="CD53" s="6">
        <v>10</v>
      </c>
      <c r="CE53" s="6">
        <v>111</v>
      </c>
      <c r="CF53" s="9">
        <f>SUM(Table1[[#This Row],[65 years and over - With one type of health insurance coverage]:[65 years and over - With two or more types of health insurance coverage &amp; Other coverage combinations]])/Table1[[#This Row],[Total]]</f>
        <v>0.33966891477621092</v>
      </c>
      <c r="CG53" s="9">
        <f>100%-Table1[[#This Row],[65 years and over - Penetration Rate]]</f>
        <v>0.66033108522378914</v>
      </c>
      <c r="CH53" s="6">
        <v>0</v>
      </c>
      <c r="CI53" s="6"/>
    </row>
    <row r="54" spans="1:87" x14ac:dyDescent="0.35">
      <c r="A54" t="s">
        <v>59</v>
      </c>
      <c r="B54">
        <v>53</v>
      </c>
      <c r="C54" s="5">
        <v>3399</v>
      </c>
      <c r="D54" s="5">
        <v>840</v>
      </c>
      <c r="E54" s="5">
        <f>SUM(Table1[[#This Row],[Under 18 years - With one type of health insurance coverage]:[Under 18 years - With two or more types of health insurance coverage &amp; Other coverage combinations]])</f>
        <v>1598</v>
      </c>
      <c r="F54" s="6">
        <v>778</v>
      </c>
      <c r="G54" s="6">
        <v>104</v>
      </c>
      <c r="H54" s="6">
        <v>12</v>
      </c>
      <c r="I54" s="6">
        <v>0</v>
      </c>
      <c r="J54" s="6">
        <v>662</v>
      </c>
      <c r="K54" s="6">
        <v>0</v>
      </c>
      <c r="L54" s="6">
        <v>0</v>
      </c>
      <c r="M54" s="6">
        <v>21</v>
      </c>
      <c r="N54" s="6">
        <v>0</v>
      </c>
      <c r="O54" s="6">
        <v>0</v>
      </c>
      <c r="P54" s="6">
        <v>0</v>
      </c>
      <c r="Q54" s="6">
        <v>0</v>
      </c>
      <c r="R54" s="6">
        <v>0</v>
      </c>
      <c r="S54" s="6">
        <v>21</v>
      </c>
      <c r="T54" s="9">
        <f>SUM(Table1[[#This Row],[Under 18 years - With one type of health insurance coverage]:[Under 18 years - With two or more types of health insurance coverage &amp; Other coverage combinations]])/Table1[[#This Row],[Total]]</f>
        <v>0.4701382759635187</v>
      </c>
      <c r="U54" s="9">
        <f>100%-Table1[[#This Row],[Under 18 years - Penetration Rate]]</f>
        <v>0.52986172403648135</v>
      </c>
      <c r="V54" s="6">
        <v>41</v>
      </c>
      <c r="W54" s="6">
        <v>1053</v>
      </c>
      <c r="X54" s="6">
        <f>SUM(Table1[[#This Row],[18 to 34 years - With one type of health insurance coverage]:[18 to 34 years - With two or more types of health insurance coverage &amp; Other coverage combinations]])</f>
        <v>1510</v>
      </c>
      <c r="Y54" s="9">
        <f>(Table1[[#This Row],[18 to 34 years]] - Table1[[#This Row],[18 to 34 years - No health insurance coverage]]) / Table1[[#This Row],[18 to 34 years]]</f>
        <v>0.71699905033238365</v>
      </c>
      <c r="Z54" s="9">
        <f>IFERROR(Table1[[#This Row],[Coverage Rate ( 18 to 34 years )]], 0)</f>
        <v>0.71699905033238365</v>
      </c>
      <c r="AA54" s="6">
        <v>732</v>
      </c>
      <c r="AB54" s="6">
        <v>360</v>
      </c>
      <c r="AC54" s="6">
        <v>41</v>
      </c>
      <c r="AD54" s="6">
        <v>0</v>
      </c>
      <c r="AE54" s="6">
        <v>306</v>
      </c>
      <c r="AF54" s="6">
        <v>25</v>
      </c>
      <c r="AG54" s="6">
        <v>0</v>
      </c>
      <c r="AH54" s="6">
        <v>23</v>
      </c>
      <c r="AI54" s="6">
        <v>0</v>
      </c>
      <c r="AJ54" s="6">
        <v>0</v>
      </c>
      <c r="AK54" s="6">
        <v>0</v>
      </c>
      <c r="AL54" s="6">
        <v>9</v>
      </c>
      <c r="AM54" s="6">
        <v>0</v>
      </c>
      <c r="AN54" s="6">
        <v>14</v>
      </c>
      <c r="AO54" s="9">
        <f>SUM(Table1[[#This Row],[18 to 34 years - With one type of health insurance coverage]:[18 to 34 years - With two or more types of health insurance coverage &amp; Other coverage combinations]])/Table1[[#This Row],[Total]]</f>
        <v>0.44424830832597823</v>
      </c>
      <c r="AP54" s="9">
        <f>100%-Table1[[#This Row],[18 to 34 years - Penetration rate]]</f>
        <v>0.55575169167402172</v>
      </c>
      <c r="AQ54" s="6">
        <v>298</v>
      </c>
      <c r="AR54" s="6">
        <v>1187</v>
      </c>
      <c r="AS54" s="6">
        <f>SUM(Table1[[#This Row],[35 to 64 years - With one type of health insurance coverage]:[35 to 64 years - With two or more types of health insurance coverage &amp; Other coverage combinations]])</f>
        <v>1970</v>
      </c>
      <c r="AT54" s="9">
        <f>(Table1[[#This Row],[35 to 64 years]]-Table1[[#This Row],[35 to 64 years - No health insurance coverage]])/Table1[[#This Row],[35 to 64 years]]</f>
        <v>0.82982308340353839</v>
      </c>
      <c r="AU54" s="9">
        <f>IFERROR(Table1[[#This Row],[Coverage Rate ( 35 to 64 years )]], 0)</f>
        <v>0.82982308340353839</v>
      </c>
      <c r="AV54" s="6">
        <v>842</v>
      </c>
      <c r="AW54" s="6">
        <v>360</v>
      </c>
      <c r="AX54" s="6">
        <v>120</v>
      </c>
      <c r="AY54" s="6">
        <v>49</v>
      </c>
      <c r="AZ54" s="6">
        <v>284</v>
      </c>
      <c r="BA54" s="6">
        <v>18</v>
      </c>
      <c r="BB54" s="6">
        <v>11</v>
      </c>
      <c r="BC54" s="6">
        <v>143</v>
      </c>
      <c r="BD54" s="6">
        <v>7</v>
      </c>
      <c r="BE54" s="6">
        <v>10</v>
      </c>
      <c r="BF54" s="6">
        <v>0</v>
      </c>
      <c r="BG54" s="6">
        <v>51</v>
      </c>
      <c r="BH54" s="6">
        <v>0</v>
      </c>
      <c r="BI54" s="6">
        <v>0</v>
      </c>
      <c r="BJ54" s="6">
        <v>75</v>
      </c>
      <c r="BK54" s="9">
        <f>SUM(Table1[[#This Row],[35 to 64 years - With one type of health insurance coverage]:[35 to 64 years - With two or more types of health insurance coverage &amp; Other coverage combinations]])/Table1[[#This Row],[Total]]</f>
        <v>0.57958223006766696</v>
      </c>
      <c r="BL54" s="9">
        <f>100%-Table1[[#This Row],[35 to 64 years - Penetration Rate]]</f>
        <v>0.42041776993233304</v>
      </c>
      <c r="BM54" s="6">
        <v>202</v>
      </c>
      <c r="BN54" s="6">
        <v>319</v>
      </c>
      <c r="BO54" s="6">
        <f>SUM(Table1[[#This Row],[65 years and over - With one type of health insurance coverage]:[65 years and over - With two or more types of health insurance coverage &amp; Other coverage combinations]])</f>
        <v>638</v>
      </c>
      <c r="BP54" s="9">
        <f>(Table1[[#This Row],[65 years and over]]-Table1[[#This Row],[65 years and over - No health insurance coverage]])/Table1[[#This Row],[65 years and over]]</f>
        <v>1</v>
      </c>
      <c r="BQ54" s="9">
        <f>IFERROR(Table1[[#This Row],[Coverage Rate ( 65 years and over )]], 0)</f>
        <v>1</v>
      </c>
      <c r="BR54" s="6">
        <v>84</v>
      </c>
      <c r="BS54" s="6">
        <v>0</v>
      </c>
      <c r="BT54" s="6">
        <v>0</v>
      </c>
      <c r="BU54" s="6">
        <v>84</v>
      </c>
      <c r="BV54" s="6">
        <v>0</v>
      </c>
      <c r="BW54" s="6">
        <v>0</v>
      </c>
      <c r="BX54" s="6">
        <v>235</v>
      </c>
      <c r="BY54" s="6">
        <v>0</v>
      </c>
      <c r="BZ54" s="6">
        <v>53</v>
      </c>
      <c r="CA54" s="6">
        <v>83</v>
      </c>
      <c r="CB54" s="6">
        <v>64</v>
      </c>
      <c r="CC54" s="6">
        <v>0</v>
      </c>
      <c r="CD54" s="6">
        <v>0</v>
      </c>
      <c r="CE54" s="6">
        <v>35</v>
      </c>
      <c r="CF54" s="9">
        <f>SUM(Table1[[#This Row],[65 years and over - With one type of health insurance coverage]:[65 years and over - With two or more types of health insurance coverage &amp; Other coverage combinations]])/Table1[[#This Row],[Total]]</f>
        <v>0.18770226537216828</v>
      </c>
      <c r="CG54" s="9">
        <f>100%-Table1[[#This Row],[65 years and over - Penetration Rate]]</f>
        <v>0.81229773462783172</v>
      </c>
      <c r="CH54" s="6">
        <v>0</v>
      </c>
      <c r="CI54" s="6"/>
    </row>
    <row r="55" spans="1:87" x14ac:dyDescent="0.35">
      <c r="A55" t="s">
        <v>60</v>
      </c>
      <c r="B55">
        <v>54</v>
      </c>
      <c r="C55" s="5">
        <v>8719</v>
      </c>
      <c r="D55" s="5">
        <v>962</v>
      </c>
      <c r="E55" s="5">
        <f>SUM(Table1[[#This Row],[Under 18 years - With one type of health insurance coverage]:[Under 18 years - With two or more types of health insurance coverage &amp; Other coverage combinations]])</f>
        <v>1840</v>
      </c>
      <c r="F55" s="6">
        <v>854</v>
      </c>
      <c r="G55" s="6">
        <v>389</v>
      </c>
      <c r="H55" s="6">
        <v>0</v>
      </c>
      <c r="I55" s="6">
        <v>0</v>
      </c>
      <c r="J55" s="6">
        <v>465</v>
      </c>
      <c r="K55" s="6">
        <v>0</v>
      </c>
      <c r="L55" s="6">
        <v>0</v>
      </c>
      <c r="M55" s="6">
        <v>66</v>
      </c>
      <c r="N55" s="6">
        <v>0</v>
      </c>
      <c r="O55" s="6">
        <v>0</v>
      </c>
      <c r="P55" s="6">
        <v>0</v>
      </c>
      <c r="Q55" s="6">
        <v>0</v>
      </c>
      <c r="R55" s="6">
        <v>0</v>
      </c>
      <c r="S55" s="6">
        <v>66</v>
      </c>
      <c r="T55" s="9">
        <f>SUM(Table1[[#This Row],[Under 18 years - With one type of health insurance coverage]:[Under 18 years - With two or more types of health insurance coverage &amp; Other coverage combinations]])/Table1[[#This Row],[Total]]</f>
        <v>0.21103337538708566</v>
      </c>
      <c r="U55" s="9">
        <f>100%-Table1[[#This Row],[Under 18 years - Penetration Rate]]</f>
        <v>0.78896662461291434</v>
      </c>
      <c r="V55" s="6">
        <v>42</v>
      </c>
      <c r="W55" s="6">
        <v>3820</v>
      </c>
      <c r="X55" s="6">
        <f>SUM(Table1[[#This Row],[18 to 34 years - With one type of health insurance coverage]:[18 to 34 years - With two or more types of health insurance coverage &amp; Other coverage combinations]])</f>
        <v>6340</v>
      </c>
      <c r="Y55" s="9">
        <f>(Table1[[#This Row],[18 to 34 years]] - Table1[[#This Row],[18 to 34 years - No health insurance coverage]]) / Table1[[#This Row],[18 to 34 years]]</f>
        <v>0.82984293193717273</v>
      </c>
      <c r="Z55" s="9">
        <f>IFERROR(Table1[[#This Row],[Coverage Rate ( 18 to 34 years )]], 0)</f>
        <v>0.82984293193717273</v>
      </c>
      <c r="AA55" s="6">
        <v>3022</v>
      </c>
      <c r="AB55" s="6">
        <v>2349</v>
      </c>
      <c r="AC55" s="6">
        <v>324</v>
      </c>
      <c r="AD55" s="6">
        <v>5</v>
      </c>
      <c r="AE55" s="6">
        <v>321</v>
      </c>
      <c r="AF55" s="6">
        <v>23</v>
      </c>
      <c r="AG55" s="6">
        <v>0</v>
      </c>
      <c r="AH55" s="6">
        <v>148</v>
      </c>
      <c r="AI55" s="6">
        <v>58</v>
      </c>
      <c r="AJ55" s="6">
        <v>0</v>
      </c>
      <c r="AK55" s="6">
        <v>47</v>
      </c>
      <c r="AL55" s="6">
        <v>21</v>
      </c>
      <c r="AM55" s="6">
        <v>0</v>
      </c>
      <c r="AN55" s="6">
        <v>22</v>
      </c>
      <c r="AO55" s="9">
        <f>SUM(Table1[[#This Row],[18 to 34 years - With one type of health insurance coverage]:[18 to 34 years - With two or more types of health insurance coverage &amp; Other coverage combinations]])/Table1[[#This Row],[Total]]</f>
        <v>0.72714760867071915</v>
      </c>
      <c r="AP55" s="9">
        <f>100%-Table1[[#This Row],[18 to 34 years - Penetration rate]]</f>
        <v>0.27285239132928085</v>
      </c>
      <c r="AQ55" s="6">
        <v>650</v>
      </c>
      <c r="AR55" s="6">
        <v>2581</v>
      </c>
      <c r="AS55" s="6">
        <f>SUM(Table1[[#This Row],[35 to 64 years - With one type of health insurance coverage]:[35 to 64 years - With two or more types of health insurance coverage &amp; Other coverage combinations]])</f>
        <v>4484</v>
      </c>
      <c r="AT55" s="9">
        <f>(Table1[[#This Row],[35 to 64 years]]-Table1[[#This Row],[35 to 64 years - No health insurance coverage]])/Table1[[#This Row],[35 to 64 years]]</f>
        <v>0.86865555986051923</v>
      </c>
      <c r="AU55" s="9">
        <f>IFERROR(Table1[[#This Row],[Coverage Rate ( 35 to 64 years )]], 0)</f>
        <v>0.86865555986051923</v>
      </c>
      <c r="AV55" s="6">
        <v>2014</v>
      </c>
      <c r="AW55" s="6">
        <v>1459</v>
      </c>
      <c r="AX55" s="6">
        <v>184</v>
      </c>
      <c r="AY55" s="6">
        <v>23</v>
      </c>
      <c r="AZ55" s="6">
        <v>314</v>
      </c>
      <c r="BA55" s="6">
        <v>0</v>
      </c>
      <c r="BB55" s="6">
        <v>34</v>
      </c>
      <c r="BC55" s="6">
        <v>228</v>
      </c>
      <c r="BD55" s="6">
        <v>62</v>
      </c>
      <c r="BE55" s="6">
        <v>30</v>
      </c>
      <c r="BF55" s="6">
        <v>0</v>
      </c>
      <c r="BG55" s="6">
        <v>59</v>
      </c>
      <c r="BH55" s="6">
        <v>0</v>
      </c>
      <c r="BI55" s="6">
        <v>18</v>
      </c>
      <c r="BJ55" s="6">
        <v>59</v>
      </c>
      <c r="BK55" s="9">
        <f>SUM(Table1[[#This Row],[35 to 64 years - With one type of health insurance coverage]:[35 to 64 years - With two or more types of health insurance coverage &amp; Other coverage combinations]])/Table1[[#This Row],[Total]]</f>
        <v>0.51427916045418054</v>
      </c>
      <c r="BL55" s="9">
        <f>100%-Table1[[#This Row],[35 to 64 years - Penetration Rate]]</f>
        <v>0.48572083954581946</v>
      </c>
      <c r="BM55" s="6">
        <v>339</v>
      </c>
      <c r="BN55" s="6">
        <v>1356</v>
      </c>
      <c r="BO55" s="6">
        <f>SUM(Table1[[#This Row],[65 years and over - With one type of health insurance coverage]:[65 years and over - With two or more types of health insurance coverage &amp; Other coverage combinations]])</f>
        <v>2712</v>
      </c>
      <c r="BP55" s="9">
        <f>(Table1[[#This Row],[65 years and over]]-Table1[[#This Row],[65 years and over - No health insurance coverage]])/Table1[[#This Row],[65 years and over]]</f>
        <v>1</v>
      </c>
      <c r="BQ55" s="9">
        <f>IFERROR(Table1[[#This Row],[Coverage Rate ( 65 years and over )]], 0)</f>
        <v>1</v>
      </c>
      <c r="BR55" s="6">
        <v>266</v>
      </c>
      <c r="BS55" s="6">
        <v>10</v>
      </c>
      <c r="BT55" s="6">
        <v>0</v>
      </c>
      <c r="BU55" s="6">
        <v>237</v>
      </c>
      <c r="BV55" s="6">
        <v>0</v>
      </c>
      <c r="BW55" s="6">
        <v>19</v>
      </c>
      <c r="BX55" s="6">
        <v>1090</v>
      </c>
      <c r="BY55" s="6">
        <v>0</v>
      </c>
      <c r="BZ55" s="6">
        <v>173</v>
      </c>
      <c r="CA55" s="6">
        <v>488</v>
      </c>
      <c r="CB55" s="6">
        <v>82</v>
      </c>
      <c r="CC55" s="6">
        <v>0</v>
      </c>
      <c r="CD55" s="6">
        <v>0</v>
      </c>
      <c r="CE55" s="6">
        <v>347</v>
      </c>
      <c r="CF55" s="9">
        <f>SUM(Table1[[#This Row],[65 years and over - With one type of health insurance coverage]:[65 years and over - With two or more types of health insurance coverage &amp; Other coverage combinations]])/Table1[[#This Row],[Total]]</f>
        <v>0.31104484459226978</v>
      </c>
      <c r="CG55" s="9">
        <f>100%-Table1[[#This Row],[65 years and over - Penetration Rate]]</f>
        <v>0.68895515540773022</v>
      </c>
      <c r="CH55" s="6">
        <v>0</v>
      </c>
      <c r="CI55" s="6"/>
    </row>
    <row r="56" spans="1:87" x14ac:dyDescent="0.35">
      <c r="A56" t="s">
        <v>61</v>
      </c>
      <c r="B56">
        <v>55</v>
      </c>
      <c r="C56" s="5">
        <v>598</v>
      </c>
      <c r="D56" s="5">
        <v>120</v>
      </c>
      <c r="E56" s="5">
        <f>SUM(Table1[[#This Row],[Under 18 years - With one type of health insurance coverage]:[Under 18 years - With two or more types of health insurance coverage &amp; Other coverage combinations]])</f>
        <v>240</v>
      </c>
      <c r="F56" s="6">
        <v>92</v>
      </c>
      <c r="G56" s="6">
        <v>30</v>
      </c>
      <c r="H56" s="6">
        <v>0</v>
      </c>
      <c r="I56" s="6">
        <v>0</v>
      </c>
      <c r="J56" s="6">
        <v>62</v>
      </c>
      <c r="K56" s="6">
        <v>0</v>
      </c>
      <c r="L56" s="6">
        <v>0</v>
      </c>
      <c r="M56" s="6">
        <v>28</v>
      </c>
      <c r="N56" s="6">
        <v>0</v>
      </c>
      <c r="O56" s="6">
        <v>0</v>
      </c>
      <c r="P56" s="6">
        <v>0</v>
      </c>
      <c r="Q56" s="6">
        <v>0</v>
      </c>
      <c r="R56" s="6">
        <v>0</v>
      </c>
      <c r="S56" s="6">
        <v>28</v>
      </c>
      <c r="T56" s="9">
        <f>SUM(Table1[[#This Row],[Under 18 years - With one type of health insurance coverage]:[Under 18 years - With two or more types of health insurance coverage &amp; Other coverage combinations]])/Table1[[#This Row],[Total]]</f>
        <v>0.40133779264214048</v>
      </c>
      <c r="U56" s="9">
        <f>100%-Table1[[#This Row],[Under 18 years - Penetration Rate]]</f>
        <v>0.59866220735785958</v>
      </c>
      <c r="V56" s="6">
        <v>0</v>
      </c>
      <c r="W56" s="6">
        <v>155</v>
      </c>
      <c r="X56" s="6">
        <f>SUM(Table1[[#This Row],[18 to 34 years - With one type of health insurance coverage]:[18 to 34 years - With two or more types of health insurance coverage &amp; Other coverage combinations]])</f>
        <v>198</v>
      </c>
      <c r="Y56" s="9">
        <f>(Table1[[#This Row],[18 to 34 years]] - Table1[[#This Row],[18 to 34 years - No health insurance coverage]]) / Table1[[#This Row],[18 to 34 years]]</f>
        <v>0.6387096774193548</v>
      </c>
      <c r="Z56" s="9">
        <f>IFERROR(Table1[[#This Row],[Coverage Rate ( 18 to 34 years )]], 0)</f>
        <v>0.6387096774193548</v>
      </c>
      <c r="AA56" s="6">
        <v>99</v>
      </c>
      <c r="AB56" s="6">
        <v>77</v>
      </c>
      <c r="AC56" s="6">
        <v>0</v>
      </c>
      <c r="AD56" s="6">
        <v>0</v>
      </c>
      <c r="AE56" s="6">
        <v>22</v>
      </c>
      <c r="AF56" s="6">
        <v>0</v>
      </c>
      <c r="AG56" s="6">
        <v>0</v>
      </c>
      <c r="AH56" s="6">
        <v>0</v>
      </c>
      <c r="AI56" s="6">
        <v>0</v>
      </c>
      <c r="AJ56" s="6">
        <v>0</v>
      </c>
      <c r="AK56" s="6">
        <v>0</v>
      </c>
      <c r="AL56" s="6">
        <v>0</v>
      </c>
      <c r="AM56" s="6">
        <v>0</v>
      </c>
      <c r="AN56" s="6">
        <v>0</v>
      </c>
      <c r="AO56" s="9">
        <f>SUM(Table1[[#This Row],[18 to 34 years - With one type of health insurance coverage]:[18 to 34 years - With two or more types of health insurance coverage &amp; Other coverage combinations]])/Table1[[#This Row],[Total]]</f>
        <v>0.33110367892976589</v>
      </c>
      <c r="AP56" s="9">
        <f>100%-Table1[[#This Row],[18 to 34 years - Penetration rate]]</f>
        <v>0.66889632107023411</v>
      </c>
      <c r="AQ56" s="6">
        <v>56</v>
      </c>
      <c r="AR56" s="6">
        <v>261</v>
      </c>
      <c r="AS56" s="6">
        <f>SUM(Table1[[#This Row],[35 to 64 years - With one type of health insurance coverage]:[35 to 64 years - With two or more types of health insurance coverage &amp; Other coverage combinations]])</f>
        <v>460</v>
      </c>
      <c r="AT56" s="9">
        <f>(Table1[[#This Row],[35 to 64 years]]-Table1[[#This Row],[35 to 64 years - No health insurance coverage]])/Table1[[#This Row],[35 to 64 years]]</f>
        <v>0.88122605363984674</v>
      </c>
      <c r="AU56" s="9">
        <f>IFERROR(Table1[[#This Row],[Coverage Rate ( 35 to 64 years )]], 0)</f>
        <v>0.88122605363984674</v>
      </c>
      <c r="AV56" s="6">
        <v>213</v>
      </c>
      <c r="AW56" s="6">
        <v>181</v>
      </c>
      <c r="AX56" s="6">
        <v>8</v>
      </c>
      <c r="AY56" s="6">
        <v>0</v>
      </c>
      <c r="AZ56" s="6">
        <v>24</v>
      </c>
      <c r="BA56" s="6">
        <v>0</v>
      </c>
      <c r="BB56" s="6">
        <v>0</v>
      </c>
      <c r="BC56" s="6">
        <v>17</v>
      </c>
      <c r="BD56" s="6">
        <v>0</v>
      </c>
      <c r="BE56" s="6">
        <v>0</v>
      </c>
      <c r="BF56" s="6">
        <v>0</v>
      </c>
      <c r="BG56" s="6">
        <v>0</v>
      </c>
      <c r="BH56" s="6">
        <v>0</v>
      </c>
      <c r="BI56" s="6">
        <v>0</v>
      </c>
      <c r="BJ56" s="6">
        <v>17</v>
      </c>
      <c r="BK56" s="9">
        <f>SUM(Table1[[#This Row],[35 to 64 years - With one type of health insurance coverage]:[35 to 64 years - With two or more types of health insurance coverage &amp; Other coverage combinations]])/Table1[[#This Row],[Total]]</f>
        <v>0.76923076923076927</v>
      </c>
      <c r="BL56" s="9">
        <f>100%-Table1[[#This Row],[35 to 64 years - Penetration Rate]]</f>
        <v>0.23076923076923073</v>
      </c>
      <c r="BM56" s="6">
        <v>31</v>
      </c>
      <c r="BN56" s="6">
        <v>62</v>
      </c>
      <c r="BO56" s="6">
        <f>SUM(Table1[[#This Row],[65 years and over - With one type of health insurance coverage]:[65 years and over - With two or more types of health insurance coverage &amp; Other coverage combinations]])</f>
        <v>124</v>
      </c>
      <c r="BP56" s="9">
        <f>(Table1[[#This Row],[65 years and over]]-Table1[[#This Row],[65 years and over - No health insurance coverage]])/Table1[[#This Row],[65 years and over]]</f>
        <v>1</v>
      </c>
      <c r="BQ56" s="9">
        <f>IFERROR(Table1[[#This Row],[Coverage Rate ( 65 years and over )]], 0)</f>
        <v>1</v>
      </c>
      <c r="BR56" s="6">
        <v>0</v>
      </c>
      <c r="BS56" s="6">
        <v>0</v>
      </c>
      <c r="BT56" s="6">
        <v>0</v>
      </c>
      <c r="BU56" s="6">
        <v>0</v>
      </c>
      <c r="BV56" s="6">
        <v>0</v>
      </c>
      <c r="BW56" s="6">
        <v>0</v>
      </c>
      <c r="BX56" s="6">
        <v>62</v>
      </c>
      <c r="BY56" s="6">
        <v>0</v>
      </c>
      <c r="BZ56" s="6">
        <v>13</v>
      </c>
      <c r="CA56" s="6">
        <v>17</v>
      </c>
      <c r="CB56" s="6">
        <v>0</v>
      </c>
      <c r="CC56" s="6">
        <v>0</v>
      </c>
      <c r="CD56" s="6">
        <v>5</v>
      </c>
      <c r="CE56" s="6">
        <v>27</v>
      </c>
      <c r="CF56" s="9">
        <f>SUM(Table1[[#This Row],[65 years and over - With one type of health insurance coverage]:[65 years and over - With two or more types of health insurance coverage &amp; Other coverage combinations]])/Table1[[#This Row],[Total]]</f>
        <v>0.20735785953177258</v>
      </c>
      <c r="CG56" s="9">
        <f>100%-Table1[[#This Row],[65 years and over - Penetration Rate]]</f>
        <v>0.79264214046822745</v>
      </c>
      <c r="CH56" s="6">
        <v>0</v>
      </c>
      <c r="CI56" s="6"/>
    </row>
    <row r="57" spans="1:87" x14ac:dyDescent="0.35">
      <c r="A57" t="s">
        <v>62</v>
      </c>
      <c r="B57">
        <v>56</v>
      </c>
      <c r="C57" s="5">
        <v>973</v>
      </c>
      <c r="D57" s="5">
        <v>211</v>
      </c>
      <c r="E57" s="5">
        <f>SUM(Table1[[#This Row],[Under 18 years - With one type of health insurance coverage]:[Under 18 years - With two or more types of health insurance coverage &amp; Other coverage combinations]])</f>
        <v>422</v>
      </c>
      <c r="F57" s="6">
        <v>208</v>
      </c>
      <c r="G57" s="6">
        <v>183</v>
      </c>
      <c r="H57" s="6">
        <v>0</v>
      </c>
      <c r="I57" s="6">
        <v>5</v>
      </c>
      <c r="J57" s="6">
        <v>20</v>
      </c>
      <c r="K57" s="6">
        <v>0</v>
      </c>
      <c r="L57" s="6">
        <v>0</v>
      </c>
      <c r="M57" s="6">
        <v>3</v>
      </c>
      <c r="N57" s="6">
        <v>0</v>
      </c>
      <c r="O57" s="6">
        <v>0</v>
      </c>
      <c r="P57" s="6">
        <v>0</v>
      </c>
      <c r="Q57" s="6">
        <v>0</v>
      </c>
      <c r="R57" s="6">
        <v>0</v>
      </c>
      <c r="S57" s="6">
        <v>3</v>
      </c>
      <c r="T57" s="9">
        <f>SUM(Table1[[#This Row],[Under 18 years - With one type of health insurance coverage]:[Under 18 years - With two or more types of health insurance coverage &amp; Other coverage combinations]])/Table1[[#This Row],[Total]]</f>
        <v>0.43371017471736895</v>
      </c>
      <c r="U57" s="9">
        <f>100%-Table1[[#This Row],[Under 18 years - Penetration Rate]]</f>
        <v>0.56628982528263105</v>
      </c>
      <c r="V57" s="6">
        <v>0</v>
      </c>
      <c r="W57" s="6">
        <v>132</v>
      </c>
      <c r="X57" s="6">
        <f>SUM(Table1[[#This Row],[18 to 34 years - With one type of health insurance coverage]:[18 to 34 years - With two or more types of health insurance coverage &amp; Other coverage combinations]])</f>
        <v>254</v>
      </c>
      <c r="Y57" s="9">
        <f>(Table1[[#This Row],[18 to 34 years]] - Table1[[#This Row],[18 to 34 years - No health insurance coverage]]) / Table1[[#This Row],[18 to 34 years]]</f>
        <v>0.96212121212121215</v>
      </c>
      <c r="Z57" s="9">
        <f>IFERROR(Table1[[#This Row],[Coverage Rate ( 18 to 34 years )]], 0)</f>
        <v>0.96212121212121215</v>
      </c>
      <c r="AA57" s="6">
        <v>127</v>
      </c>
      <c r="AB57" s="6">
        <v>114</v>
      </c>
      <c r="AC57" s="6">
        <v>3</v>
      </c>
      <c r="AD57" s="6">
        <v>0</v>
      </c>
      <c r="AE57" s="6">
        <v>10</v>
      </c>
      <c r="AF57" s="6">
        <v>0</v>
      </c>
      <c r="AG57" s="6">
        <v>0</v>
      </c>
      <c r="AH57" s="6">
        <v>0</v>
      </c>
      <c r="AI57" s="6">
        <v>0</v>
      </c>
      <c r="AJ57" s="6">
        <v>0</v>
      </c>
      <c r="AK57" s="6">
        <v>0</v>
      </c>
      <c r="AL57" s="6">
        <v>0</v>
      </c>
      <c r="AM57" s="6">
        <v>0</v>
      </c>
      <c r="AN57" s="6">
        <v>0</v>
      </c>
      <c r="AO57" s="9">
        <f>SUM(Table1[[#This Row],[18 to 34 years - With one type of health insurance coverage]:[18 to 34 years - With two or more types of health insurance coverage &amp; Other coverage combinations]])/Table1[[#This Row],[Total]]</f>
        <v>0.26104830421377184</v>
      </c>
      <c r="AP57" s="9">
        <f>100%-Table1[[#This Row],[18 to 34 years - Penetration rate]]</f>
        <v>0.7389516957862281</v>
      </c>
      <c r="AQ57" s="6">
        <v>5</v>
      </c>
      <c r="AR57" s="6">
        <v>451</v>
      </c>
      <c r="AS57" s="6">
        <f>SUM(Table1[[#This Row],[35 to 64 years - With one type of health insurance coverage]:[35 to 64 years - With two or more types of health insurance coverage &amp; Other coverage combinations]])</f>
        <v>890</v>
      </c>
      <c r="AT57" s="9">
        <f>(Table1[[#This Row],[35 to 64 years]]-Table1[[#This Row],[35 to 64 years - No health insurance coverage]])/Table1[[#This Row],[35 to 64 years]]</f>
        <v>0.98669623059866962</v>
      </c>
      <c r="AU57" s="9">
        <f>IFERROR(Table1[[#This Row],[Coverage Rate ( 35 to 64 years )]], 0)</f>
        <v>0.98669623059866962</v>
      </c>
      <c r="AV57" s="6">
        <v>422</v>
      </c>
      <c r="AW57" s="6">
        <v>395</v>
      </c>
      <c r="AX57" s="6">
        <v>2</v>
      </c>
      <c r="AY57" s="6">
        <v>12</v>
      </c>
      <c r="AZ57" s="6">
        <v>13</v>
      </c>
      <c r="BA57" s="6">
        <v>0</v>
      </c>
      <c r="BB57" s="6">
        <v>0</v>
      </c>
      <c r="BC57" s="6">
        <v>23</v>
      </c>
      <c r="BD57" s="6">
        <v>0</v>
      </c>
      <c r="BE57" s="6">
        <v>0</v>
      </c>
      <c r="BF57" s="6">
        <v>8</v>
      </c>
      <c r="BG57" s="6">
        <v>0</v>
      </c>
      <c r="BH57" s="6">
        <v>3</v>
      </c>
      <c r="BI57" s="6">
        <v>0</v>
      </c>
      <c r="BJ57" s="6">
        <v>12</v>
      </c>
      <c r="BK57" s="9">
        <f>SUM(Table1[[#This Row],[35 to 64 years - With one type of health insurance coverage]:[35 to 64 years - With two or more types of health insurance coverage &amp; Other coverage combinations]])/Table1[[#This Row],[Total]]</f>
        <v>0.91469681397738956</v>
      </c>
      <c r="BL57" s="9">
        <f>100%-Table1[[#This Row],[35 to 64 years - Penetration Rate]]</f>
        <v>8.5303186022610444E-2</v>
      </c>
      <c r="BM57" s="6">
        <v>6</v>
      </c>
      <c r="BN57" s="6">
        <v>179</v>
      </c>
      <c r="BO57" s="6">
        <f>SUM(Table1[[#This Row],[65 years and over - With one type of health insurance coverage]:[65 years and over - With two or more types of health insurance coverage &amp; Other coverage combinations]])</f>
        <v>358</v>
      </c>
      <c r="BP57" s="9">
        <f>(Table1[[#This Row],[65 years and over]]-Table1[[#This Row],[65 years and over - No health insurance coverage]])/Table1[[#This Row],[65 years and over]]</f>
        <v>1</v>
      </c>
      <c r="BQ57" s="9">
        <f>IFERROR(Table1[[#This Row],[Coverage Rate ( 65 years and over )]], 0)</f>
        <v>1</v>
      </c>
      <c r="BR57" s="6">
        <v>62</v>
      </c>
      <c r="BS57" s="6">
        <v>12</v>
      </c>
      <c r="BT57" s="6">
        <v>0</v>
      </c>
      <c r="BU57" s="6">
        <v>50</v>
      </c>
      <c r="BV57" s="6">
        <v>0</v>
      </c>
      <c r="BW57" s="6">
        <v>0</v>
      </c>
      <c r="BX57" s="6">
        <v>117</v>
      </c>
      <c r="BY57" s="6">
        <v>0</v>
      </c>
      <c r="BZ57" s="6">
        <v>65</v>
      </c>
      <c r="CA57" s="6">
        <v>20</v>
      </c>
      <c r="CB57" s="6">
        <v>4</v>
      </c>
      <c r="CC57" s="6">
        <v>0</v>
      </c>
      <c r="CD57" s="6">
        <v>0</v>
      </c>
      <c r="CE57" s="6">
        <v>28</v>
      </c>
      <c r="CF57" s="9">
        <f>SUM(Table1[[#This Row],[65 years and over - With one type of health insurance coverage]:[65 years and over - With two or more types of health insurance coverage &amp; Other coverage combinations]])/Table1[[#This Row],[Total]]</f>
        <v>0.36793422404933196</v>
      </c>
      <c r="CG57" s="9">
        <f>100%-Table1[[#This Row],[65 years and over - Penetration Rate]]</f>
        <v>0.63206577595066804</v>
      </c>
      <c r="CH57" s="6">
        <v>0</v>
      </c>
      <c r="CI57" s="6"/>
    </row>
    <row r="58" spans="1:87" x14ac:dyDescent="0.35">
      <c r="A58" t="s">
        <v>63</v>
      </c>
      <c r="B58">
        <v>57</v>
      </c>
      <c r="C58" s="5">
        <v>9593</v>
      </c>
      <c r="D58" s="5">
        <v>315</v>
      </c>
      <c r="E58" s="5">
        <f>SUM(Table1[[#This Row],[Under 18 years - With one type of health insurance coverage]:[Under 18 years - With two or more types of health insurance coverage &amp; Other coverage combinations]])</f>
        <v>630</v>
      </c>
      <c r="F58" s="6">
        <v>315</v>
      </c>
      <c r="G58" s="6">
        <v>161</v>
      </c>
      <c r="H58" s="6">
        <v>39</v>
      </c>
      <c r="I58" s="6">
        <v>0</v>
      </c>
      <c r="J58" s="6">
        <v>115</v>
      </c>
      <c r="K58" s="6">
        <v>0</v>
      </c>
      <c r="L58" s="6">
        <v>0</v>
      </c>
      <c r="M58" s="6">
        <v>0</v>
      </c>
      <c r="N58" s="6">
        <v>0</v>
      </c>
      <c r="O58" s="6">
        <v>0</v>
      </c>
      <c r="P58" s="6">
        <v>0</v>
      </c>
      <c r="Q58" s="6">
        <v>0</v>
      </c>
      <c r="R58" s="6">
        <v>0</v>
      </c>
      <c r="S58" s="6">
        <v>0</v>
      </c>
      <c r="T58" s="9">
        <f>SUM(Table1[[#This Row],[Under 18 years - With one type of health insurance coverage]:[Under 18 years - With two or more types of health insurance coverage &amp; Other coverage combinations]])/Table1[[#This Row],[Total]]</f>
        <v>6.5672886479724801E-2</v>
      </c>
      <c r="U58" s="9">
        <f>100%-Table1[[#This Row],[Under 18 years - Penetration Rate]]</f>
        <v>0.9343271135202752</v>
      </c>
      <c r="V58" s="6">
        <v>0</v>
      </c>
      <c r="W58" s="6">
        <v>7334</v>
      </c>
      <c r="X58" s="6">
        <f>SUM(Table1[[#This Row],[18 to 34 years - With one type of health insurance coverage]:[18 to 34 years - With two or more types of health insurance coverage &amp; Other coverage combinations]])</f>
        <v>14272</v>
      </c>
      <c r="Y58" s="9">
        <f>(Table1[[#This Row],[18 to 34 years]] - Table1[[#This Row],[18 to 34 years - No health insurance coverage]]) / Table1[[#This Row],[18 to 34 years]]</f>
        <v>0.97300245432233434</v>
      </c>
      <c r="Z58" s="9">
        <f>IFERROR(Table1[[#This Row],[Coverage Rate ( 18 to 34 years )]], 0)</f>
        <v>0.97300245432233434</v>
      </c>
      <c r="AA58" s="6">
        <v>6823</v>
      </c>
      <c r="AB58" s="6">
        <v>5124</v>
      </c>
      <c r="AC58" s="6">
        <v>1496</v>
      </c>
      <c r="AD58" s="6">
        <v>0</v>
      </c>
      <c r="AE58" s="6">
        <v>176</v>
      </c>
      <c r="AF58" s="6">
        <v>27</v>
      </c>
      <c r="AG58" s="6">
        <v>0</v>
      </c>
      <c r="AH58" s="6">
        <v>313</v>
      </c>
      <c r="AI58" s="6">
        <v>218</v>
      </c>
      <c r="AJ58" s="6">
        <v>0</v>
      </c>
      <c r="AK58" s="6">
        <v>0</v>
      </c>
      <c r="AL58" s="6">
        <v>33</v>
      </c>
      <c r="AM58" s="6">
        <v>0</v>
      </c>
      <c r="AN58" s="6">
        <v>62</v>
      </c>
      <c r="AO58" s="9">
        <f>SUM(Table1[[#This Row],[18 to 34 years - With one type of health insurance coverage]:[18 to 34 years - With two or more types of health insurance coverage &amp; Other coverage combinations]])/Table1[[#This Row],[Total]]</f>
        <v>1.4877514854581466</v>
      </c>
      <c r="AP58" s="9">
        <f>100%-Table1[[#This Row],[18 to 34 years - Penetration rate]]</f>
        <v>-0.48775148545814662</v>
      </c>
      <c r="AQ58" s="6">
        <v>198</v>
      </c>
      <c r="AR58" s="6">
        <v>785</v>
      </c>
      <c r="AS58" s="6">
        <f>SUM(Table1[[#This Row],[35 to 64 years - With one type of health insurance coverage]:[35 to 64 years - With two or more types of health insurance coverage &amp; Other coverage combinations]])</f>
        <v>1446</v>
      </c>
      <c r="AT58" s="9">
        <f>(Table1[[#This Row],[35 to 64 years]]-Table1[[#This Row],[35 to 64 years - No health insurance coverage]])/Table1[[#This Row],[35 to 64 years]]</f>
        <v>0.92101910828025479</v>
      </c>
      <c r="AU58" s="9">
        <f>IFERROR(Table1[[#This Row],[Coverage Rate ( 35 to 64 years )]], 0)</f>
        <v>0.92101910828025479</v>
      </c>
      <c r="AV58" s="6">
        <v>593</v>
      </c>
      <c r="AW58" s="6">
        <v>327</v>
      </c>
      <c r="AX58" s="6">
        <v>120</v>
      </c>
      <c r="AY58" s="6">
        <v>40</v>
      </c>
      <c r="AZ58" s="6">
        <v>86</v>
      </c>
      <c r="BA58" s="6">
        <v>0</v>
      </c>
      <c r="BB58" s="6">
        <v>20</v>
      </c>
      <c r="BC58" s="6">
        <v>130</v>
      </c>
      <c r="BD58" s="6">
        <v>18</v>
      </c>
      <c r="BE58" s="6">
        <v>0</v>
      </c>
      <c r="BF58" s="6">
        <v>0</v>
      </c>
      <c r="BG58" s="6">
        <v>37</v>
      </c>
      <c r="BH58" s="6">
        <v>0</v>
      </c>
      <c r="BI58" s="6">
        <v>3</v>
      </c>
      <c r="BJ58" s="6">
        <v>72</v>
      </c>
      <c r="BK58" s="9">
        <f>SUM(Table1[[#This Row],[35 to 64 years - With one type of health insurance coverage]:[35 to 64 years - With two or more types of health insurance coverage &amp; Other coverage combinations]])/Table1[[#This Row],[Total]]</f>
        <v>0.1507349108725112</v>
      </c>
      <c r="BL58" s="9">
        <f>100%-Table1[[#This Row],[35 to 64 years - Penetration Rate]]</f>
        <v>0.84926508912748877</v>
      </c>
      <c r="BM58" s="6">
        <v>62</v>
      </c>
      <c r="BN58" s="6">
        <v>1159</v>
      </c>
      <c r="BO58" s="6">
        <f>SUM(Table1[[#This Row],[65 years and over - With one type of health insurance coverage]:[65 years and over - With two or more types of health insurance coverage &amp; Other coverage combinations]])</f>
        <v>2318</v>
      </c>
      <c r="BP58" s="9">
        <f>(Table1[[#This Row],[65 years and over]]-Table1[[#This Row],[65 years and over - No health insurance coverage]])/Table1[[#This Row],[65 years and over]]</f>
        <v>1</v>
      </c>
      <c r="BQ58" s="9">
        <f>IFERROR(Table1[[#This Row],[Coverage Rate ( 65 years and over )]], 0)</f>
        <v>1</v>
      </c>
      <c r="BR58" s="6">
        <v>356</v>
      </c>
      <c r="BS58" s="6">
        <v>9</v>
      </c>
      <c r="BT58" s="6">
        <v>0</v>
      </c>
      <c r="BU58" s="6">
        <v>347</v>
      </c>
      <c r="BV58" s="6">
        <v>0</v>
      </c>
      <c r="BW58" s="6">
        <v>0</v>
      </c>
      <c r="BX58" s="6">
        <v>803</v>
      </c>
      <c r="BY58" s="6">
        <v>0</v>
      </c>
      <c r="BZ58" s="6">
        <v>158</v>
      </c>
      <c r="CA58" s="6">
        <v>233</v>
      </c>
      <c r="CB58" s="6">
        <v>52</v>
      </c>
      <c r="CC58" s="6">
        <v>0</v>
      </c>
      <c r="CD58" s="6">
        <v>11</v>
      </c>
      <c r="CE58" s="6">
        <v>349</v>
      </c>
      <c r="CF58" s="9">
        <f>SUM(Table1[[#This Row],[65 years and over - With one type of health insurance coverage]:[65 years and over - With two or more types of health insurance coverage &amp; Other coverage combinations]])/Table1[[#This Row],[Total]]</f>
        <v>0.24163452517460648</v>
      </c>
      <c r="CG58" s="9">
        <f>100%-Table1[[#This Row],[65 years and over - Penetration Rate]]</f>
        <v>0.75836547482539352</v>
      </c>
      <c r="CH58" s="6">
        <v>0</v>
      </c>
      <c r="CI58" s="6"/>
    </row>
    <row r="59" spans="1:87" x14ac:dyDescent="0.35">
      <c r="A59" t="s">
        <v>64</v>
      </c>
      <c r="B59">
        <v>58</v>
      </c>
      <c r="C59" s="5">
        <v>205</v>
      </c>
      <c r="D59" s="5">
        <v>12</v>
      </c>
      <c r="E59" s="5">
        <f>SUM(Table1[[#This Row],[Under 18 years - With one type of health insurance coverage]:[Under 18 years - With two or more types of health insurance coverage &amp; Other coverage combinations]])</f>
        <v>24</v>
      </c>
      <c r="F59" s="6">
        <v>12</v>
      </c>
      <c r="G59" s="6">
        <v>0</v>
      </c>
      <c r="H59" s="6">
        <v>12</v>
      </c>
      <c r="I59" s="6">
        <v>0</v>
      </c>
      <c r="J59" s="6">
        <v>0</v>
      </c>
      <c r="K59" s="6">
        <v>0</v>
      </c>
      <c r="L59" s="6">
        <v>0</v>
      </c>
      <c r="M59" s="6">
        <v>0</v>
      </c>
      <c r="N59" s="6">
        <v>0</v>
      </c>
      <c r="O59" s="6">
        <v>0</v>
      </c>
      <c r="P59" s="6">
        <v>0</v>
      </c>
      <c r="Q59" s="6">
        <v>0</v>
      </c>
      <c r="R59" s="6">
        <v>0</v>
      </c>
      <c r="S59" s="6">
        <v>0</v>
      </c>
      <c r="T59" s="9">
        <f>SUM(Table1[[#This Row],[Under 18 years - With one type of health insurance coverage]:[Under 18 years - With two or more types of health insurance coverage &amp; Other coverage combinations]])/Table1[[#This Row],[Total]]</f>
        <v>0.11707317073170732</v>
      </c>
      <c r="U59" s="9">
        <f>100%-Table1[[#This Row],[Under 18 years - Penetration Rate]]</f>
        <v>0.88292682926829269</v>
      </c>
      <c r="V59" s="6">
        <v>0</v>
      </c>
      <c r="W59" s="6">
        <v>116</v>
      </c>
      <c r="X59" s="6">
        <f>SUM(Table1[[#This Row],[18 to 34 years - With one type of health insurance coverage]:[18 to 34 years - With two or more types of health insurance coverage &amp; Other coverage combinations]])</f>
        <v>196</v>
      </c>
      <c r="Y59" s="9">
        <f>(Table1[[#This Row],[18 to 34 years]] - Table1[[#This Row],[18 to 34 years - No health insurance coverage]]) / Table1[[#This Row],[18 to 34 years]]</f>
        <v>0.84482758620689657</v>
      </c>
      <c r="Z59" s="9">
        <f>IFERROR(Table1[[#This Row],[Coverage Rate ( 18 to 34 years )]], 0)</f>
        <v>0.84482758620689657</v>
      </c>
      <c r="AA59" s="6">
        <v>98</v>
      </c>
      <c r="AB59" s="6">
        <v>98</v>
      </c>
      <c r="AC59" s="6">
        <v>0</v>
      </c>
      <c r="AD59" s="6">
        <v>0</v>
      </c>
      <c r="AE59" s="6">
        <v>0</v>
      </c>
      <c r="AF59" s="6">
        <v>0</v>
      </c>
      <c r="AG59" s="6">
        <v>0</v>
      </c>
      <c r="AH59" s="6">
        <v>0</v>
      </c>
      <c r="AI59" s="6">
        <v>0</v>
      </c>
      <c r="AJ59" s="6">
        <v>0</v>
      </c>
      <c r="AK59" s="6">
        <v>0</v>
      </c>
      <c r="AL59" s="6">
        <v>0</v>
      </c>
      <c r="AM59" s="6">
        <v>0</v>
      </c>
      <c r="AN59" s="6">
        <v>0</v>
      </c>
      <c r="AO59" s="9">
        <f>SUM(Table1[[#This Row],[18 to 34 years - With one type of health insurance coverage]:[18 to 34 years - With two or more types of health insurance coverage &amp; Other coverage combinations]])/Table1[[#This Row],[Total]]</f>
        <v>0.95609756097560972</v>
      </c>
      <c r="AP59" s="9">
        <f>100%-Table1[[#This Row],[18 to 34 years - Penetration rate]]</f>
        <v>4.3902439024390283E-2</v>
      </c>
      <c r="AQ59" s="6">
        <v>18</v>
      </c>
      <c r="AR59" s="6">
        <v>70</v>
      </c>
      <c r="AS59" s="6">
        <f>SUM(Table1[[#This Row],[35 to 64 years - With one type of health insurance coverage]:[35 to 64 years - With two or more types of health insurance coverage &amp; Other coverage combinations]])</f>
        <v>140</v>
      </c>
      <c r="AT59" s="9">
        <f>(Table1[[#This Row],[35 to 64 years]]-Table1[[#This Row],[35 to 64 years - No health insurance coverage]])/Table1[[#This Row],[35 to 64 years]]</f>
        <v>1</v>
      </c>
      <c r="AU59" s="9">
        <f>IFERROR(Table1[[#This Row],[Coverage Rate ( 35 to 64 years )]], 0)</f>
        <v>1</v>
      </c>
      <c r="AV59" s="6">
        <v>70</v>
      </c>
      <c r="AW59" s="6">
        <v>70</v>
      </c>
      <c r="AX59" s="6">
        <v>0</v>
      </c>
      <c r="AY59" s="6">
        <v>0</v>
      </c>
      <c r="AZ59" s="6">
        <v>0</v>
      </c>
      <c r="BA59" s="6">
        <v>0</v>
      </c>
      <c r="BB59" s="6">
        <v>0</v>
      </c>
      <c r="BC59" s="6">
        <v>0</v>
      </c>
      <c r="BD59" s="6">
        <v>0</v>
      </c>
      <c r="BE59" s="6">
        <v>0</v>
      </c>
      <c r="BF59" s="6">
        <v>0</v>
      </c>
      <c r="BG59" s="6">
        <v>0</v>
      </c>
      <c r="BH59" s="6">
        <v>0</v>
      </c>
      <c r="BI59" s="6">
        <v>0</v>
      </c>
      <c r="BJ59" s="6">
        <v>0</v>
      </c>
      <c r="BK59" s="9">
        <f>SUM(Table1[[#This Row],[35 to 64 years - With one type of health insurance coverage]:[35 to 64 years - With two or more types of health insurance coverage &amp; Other coverage combinations]])/Table1[[#This Row],[Total]]</f>
        <v>0.68292682926829273</v>
      </c>
      <c r="BL59" s="9">
        <f>100%-Table1[[#This Row],[35 to 64 years - Penetration Rate]]</f>
        <v>0.31707317073170727</v>
      </c>
      <c r="BM59" s="6">
        <v>0</v>
      </c>
      <c r="BN59" s="6">
        <v>7</v>
      </c>
      <c r="BO59" s="6">
        <f>SUM(Table1[[#This Row],[65 years and over - With one type of health insurance coverage]:[65 years and over - With two or more types of health insurance coverage &amp; Other coverage combinations]])</f>
        <v>14</v>
      </c>
      <c r="BP59" s="9">
        <f>(Table1[[#This Row],[65 years and over]]-Table1[[#This Row],[65 years and over - No health insurance coverage]])/Table1[[#This Row],[65 years and over]]</f>
        <v>1</v>
      </c>
      <c r="BQ59" s="9">
        <f>IFERROR(Table1[[#This Row],[Coverage Rate ( 65 years and over )]], 0)</f>
        <v>1</v>
      </c>
      <c r="BR59" s="6">
        <v>7</v>
      </c>
      <c r="BS59" s="6">
        <v>0</v>
      </c>
      <c r="BT59" s="6">
        <v>0</v>
      </c>
      <c r="BU59" s="6">
        <v>7</v>
      </c>
      <c r="BV59" s="6">
        <v>0</v>
      </c>
      <c r="BW59" s="6">
        <v>0</v>
      </c>
      <c r="BX59" s="6">
        <v>0</v>
      </c>
      <c r="BY59" s="6">
        <v>0</v>
      </c>
      <c r="BZ59" s="6">
        <v>0</v>
      </c>
      <c r="CA59" s="6">
        <v>0</v>
      </c>
      <c r="CB59" s="6">
        <v>0</v>
      </c>
      <c r="CC59" s="6">
        <v>0</v>
      </c>
      <c r="CD59" s="6">
        <v>0</v>
      </c>
      <c r="CE59" s="6">
        <v>0</v>
      </c>
      <c r="CF59" s="9">
        <f>SUM(Table1[[#This Row],[65 years and over - With one type of health insurance coverage]:[65 years and over - With two or more types of health insurance coverage &amp; Other coverage combinations]])/Table1[[#This Row],[Total]]</f>
        <v>6.8292682926829273E-2</v>
      </c>
      <c r="CG59" s="9">
        <f>100%-Table1[[#This Row],[65 years and over - Penetration Rate]]</f>
        <v>0.93170731707317067</v>
      </c>
      <c r="CH59" s="6">
        <v>0</v>
      </c>
      <c r="CI59" s="6"/>
    </row>
    <row r="60" spans="1:87" x14ac:dyDescent="0.35">
      <c r="A60" t="s">
        <v>65</v>
      </c>
      <c r="B60">
        <v>59</v>
      </c>
      <c r="C60" s="5">
        <v>1545</v>
      </c>
      <c r="D60" s="5">
        <v>708</v>
      </c>
      <c r="E60" s="5">
        <f>SUM(Table1[[#This Row],[Under 18 years - With one type of health insurance coverage]:[Under 18 years - With two or more types of health insurance coverage &amp; Other coverage combinations]])</f>
        <v>1406</v>
      </c>
      <c r="F60" s="6">
        <v>639</v>
      </c>
      <c r="G60" s="6">
        <v>32</v>
      </c>
      <c r="H60" s="6">
        <v>21</v>
      </c>
      <c r="I60" s="6">
        <v>0</v>
      </c>
      <c r="J60" s="6">
        <v>586</v>
      </c>
      <c r="K60" s="6">
        <v>0</v>
      </c>
      <c r="L60" s="6">
        <v>0</v>
      </c>
      <c r="M60" s="6">
        <v>64</v>
      </c>
      <c r="N60" s="6">
        <v>0</v>
      </c>
      <c r="O60" s="6">
        <v>0</v>
      </c>
      <c r="P60" s="6">
        <v>58</v>
      </c>
      <c r="Q60" s="6">
        <v>0</v>
      </c>
      <c r="R60" s="6">
        <v>0</v>
      </c>
      <c r="S60" s="6">
        <v>6</v>
      </c>
      <c r="T60" s="9">
        <f>SUM(Table1[[#This Row],[Under 18 years - With one type of health insurance coverage]:[Under 18 years - With two or more types of health insurance coverage &amp; Other coverage combinations]])/Table1[[#This Row],[Total]]</f>
        <v>0.91003236245954688</v>
      </c>
      <c r="U60" s="9">
        <f>100%-Table1[[#This Row],[Under 18 years - Penetration Rate]]</f>
        <v>8.9967637540453116E-2</v>
      </c>
      <c r="V60" s="6">
        <v>5</v>
      </c>
      <c r="W60" s="6">
        <v>489</v>
      </c>
      <c r="X60" s="6">
        <f>SUM(Table1[[#This Row],[18 to 34 years - With one type of health insurance coverage]:[18 to 34 years - With two or more types of health insurance coverage &amp; Other coverage combinations]])</f>
        <v>604</v>
      </c>
      <c r="Y60" s="9">
        <f>(Table1[[#This Row],[18 to 34 years]] - Table1[[#This Row],[18 to 34 years - No health insurance coverage]]) / Table1[[#This Row],[18 to 34 years]]</f>
        <v>0.6175869120654397</v>
      </c>
      <c r="Z60" s="9">
        <f>IFERROR(Table1[[#This Row],[Coverage Rate ( 18 to 34 years )]], 0)</f>
        <v>0.6175869120654397</v>
      </c>
      <c r="AA60" s="6">
        <v>295</v>
      </c>
      <c r="AB60" s="6">
        <v>8</v>
      </c>
      <c r="AC60" s="6">
        <v>5</v>
      </c>
      <c r="AD60" s="6">
        <v>0</v>
      </c>
      <c r="AE60" s="6">
        <v>282</v>
      </c>
      <c r="AF60" s="6">
        <v>0</v>
      </c>
      <c r="AG60" s="6">
        <v>0</v>
      </c>
      <c r="AH60" s="6">
        <v>7</v>
      </c>
      <c r="AI60" s="6">
        <v>0</v>
      </c>
      <c r="AJ60" s="6">
        <v>0</v>
      </c>
      <c r="AK60" s="6">
        <v>7</v>
      </c>
      <c r="AL60" s="6">
        <v>0</v>
      </c>
      <c r="AM60" s="6">
        <v>0</v>
      </c>
      <c r="AN60" s="6">
        <v>0</v>
      </c>
      <c r="AO60" s="9">
        <f>SUM(Table1[[#This Row],[18 to 34 years - With one type of health insurance coverage]:[18 to 34 years - With two or more types of health insurance coverage &amp; Other coverage combinations]])/Table1[[#This Row],[Total]]</f>
        <v>0.39093851132686086</v>
      </c>
      <c r="AP60" s="9">
        <f>100%-Table1[[#This Row],[18 to 34 years - Penetration rate]]</f>
        <v>0.60906148867313914</v>
      </c>
      <c r="AQ60" s="6">
        <v>187</v>
      </c>
      <c r="AR60" s="6">
        <v>243</v>
      </c>
      <c r="AS60" s="6">
        <f>SUM(Table1[[#This Row],[35 to 64 years - With one type of health insurance coverage]:[35 to 64 years - With two or more types of health insurance coverage &amp; Other coverage combinations]])</f>
        <v>374</v>
      </c>
      <c r="AT60" s="9">
        <f>(Table1[[#This Row],[35 to 64 years]]-Table1[[#This Row],[35 to 64 years - No health insurance coverage]])/Table1[[#This Row],[35 to 64 years]]</f>
        <v>0.76954732510288071</v>
      </c>
      <c r="AU60" s="9">
        <f>IFERROR(Table1[[#This Row],[Coverage Rate ( 35 to 64 years )]], 0)</f>
        <v>0.76954732510288071</v>
      </c>
      <c r="AV60" s="6">
        <v>137</v>
      </c>
      <c r="AW60" s="6">
        <v>44</v>
      </c>
      <c r="AX60" s="6">
        <v>16</v>
      </c>
      <c r="AY60" s="6">
        <v>0</v>
      </c>
      <c r="AZ60" s="6">
        <v>77</v>
      </c>
      <c r="BA60" s="6">
        <v>0</v>
      </c>
      <c r="BB60" s="6">
        <v>0</v>
      </c>
      <c r="BC60" s="6">
        <v>50</v>
      </c>
      <c r="BD60" s="6">
        <v>0</v>
      </c>
      <c r="BE60" s="6">
        <v>0</v>
      </c>
      <c r="BF60" s="6">
        <v>0</v>
      </c>
      <c r="BG60" s="6">
        <v>23</v>
      </c>
      <c r="BH60" s="6">
        <v>0</v>
      </c>
      <c r="BI60" s="6">
        <v>0</v>
      </c>
      <c r="BJ60" s="6">
        <v>27</v>
      </c>
      <c r="BK60" s="9">
        <f>SUM(Table1[[#This Row],[35 to 64 years - With one type of health insurance coverage]:[35 to 64 years - With two or more types of health insurance coverage &amp; Other coverage combinations]])/Table1[[#This Row],[Total]]</f>
        <v>0.24207119741100325</v>
      </c>
      <c r="BL60" s="9">
        <f>100%-Table1[[#This Row],[35 to 64 years - Penetration Rate]]</f>
        <v>0.75792880258899675</v>
      </c>
      <c r="BM60" s="6">
        <v>56</v>
      </c>
      <c r="BN60" s="6">
        <v>105</v>
      </c>
      <c r="BO60" s="6">
        <f>SUM(Table1[[#This Row],[65 years and over - With one type of health insurance coverage]:[65 years and over - With two or more types of health insurance coverage &amp; Other coverage combinations]])</f>
        <v>210</v>
      </c>
      <c r="BP60" s="9">
        <f>(Table1[[#This Row],[65 years and over]]-Table1[[#This Row],[65 years and over - No health insurance coverage]])/Table1[[#This Row],[65 years and over]]</f>
        <v>1</v>
      </c>
      <c r="BQ60" s="9">
        <f>IFERROR(Table1[[#This Row],[Coverage Rate ( 65 years and over )]], 0)</f>
        <v>1</v>
      </c>
      <c r="BR60" s="6">
        <v>25</v>
      </c>
      <c r="BS60" s="6">
        <v>0</v>
      </c>
      <c r="BT60" s="6">
        <v>0</v>
      </c>
      <c r="BU60" s="6">
        <v>21</v>
      </c>
      <c r="BV60" s="6">
        <v>0</v>
      </c>
      <c r="BW60" s="6">
        <v>4</v>
      </c>
      <c r="BX60" s="6">
        <v>80</v>
      </c>
      <c r="BY60" s="6">
        <v>0</v>
      </c>
      <c r="BZ60" s="6">
        <v>0</v>
      </c>
      <c r="CA60" s="6">
        <v>16</v>
      </c>
      <c r="CB60" s="6">
        <v>46</v>
      </c>
      <c r="CC60" s="6">
        <v>0</v>
      </c>
      <c r="CD60" s="6">
        <v>0</v>
      </c>
      <c r="CE60" s="6">
        <v>18</v>
      </c>
      <c r="CF60" s="9">
        <f>SUM(Table1[[#This Row],[65 years and over - With one type of health insurance coverage]:[65 years and over - With two or more types of health insurance coverage &amp; Other coverage combinations]])/Table1[[#This Row],[Total]]</f>
        <v>0.13592233009708737</v>
      </c>
      <c r="CG60" s="9">
        <f>100%-Table1[[#This Row],[65 years and over - Penetration Rate]]</f>
        <v>0.86407766990291268</v>
      </c>
      <c r="CH60" s="6">
        <v>0</v>
      </c>
      <c r="CI60" s="6"/>
    </row>
    <row r="61" spans="1:87" x14ac:dyDescent="0.35">
      <c r="A61" t="s">
        <v>66</v>
      </c>
      <c r="B61">
        <v>60</v>
      </c>
      <c r="C61" s="5">
        <v>1058</v>
      </c>
      <c r="D61" s="5">
        <v>147</v>
      </c>
      <c r="E61" s="5">
        <f>SUM(Table1[[#This Row],[Under 18 years - With one type of health insurance coverage]:[Under 18 years - With two or more types of health insurance coverage &amp; Other coverage combinations]])</f>
        <v>286</v>
      </c>
      <c r="F61" s="6">
        <v>124</v>
      </c>
      <c r="G61" s="6">
        <v>57</v>
      </c>
      <c r="H61" s="6">
        <v>0</v>
      </c>
      <c r="I61" s="6">
        <v>0</v>
      </c>
      <c r="J61" s="6">
        <v>67</v>
      </c>
      <c r="K61" s="6">
        <v>0</v>
      </c>
      <c r="L61" s="6">
        <v>0</v>
      </c>
      <c r="M61" s="6">
        <v>19</v>
      </c>
      <c r="N61" s="6">
        <v>0</v>
      </c>
      <c r="O61" s="6">
        <v>0</v>
      </c>
      <c r="P61" s="6">
        <v>0</v>
      </c>
      <c r="Q61" s="6">
        <v>0</v>
      </c>
      <c r="R61" s="6">
        <v>0</v>
      </c>
      <c r="S61" s="6">
        <v>19</v>
      </c>
      <c r="T61" s="9">
        <f>SUM(Table1[[#This Row],[Under 18 years - With one type of health insurance coverage]:[Under 18 years - With two or more types of health insurance coverage &amp; Other coverage combinations]])/Table1[[#This Row],[Total]]</f>
        <v>0.27032136105860116</v>
      </c>
      <c r="U61" s="9">
        <f>100%-Table1[[#This Row],[Under 18 years - Penetration Rate]]</f>
        <v>0.72967863894139884</v>
      </c>
      <c r="V61" s="6">
        <v>4</v>
      </c>
      <c r="W61" s="6">
        <v>318</v>
      </c>
      <c r="X61" s="6">
        <f>SUM(Table1[[#This Row],[18 to 34 years - With one type of health insurance coverage]:[18 to 34 years - With two or more types of health insurance coverage &amp; Other coverage combinations]])</f>
        <v>474</v>
      </c>
      <c r="Y61" s="9">
        <f>(Table1[[#This Row],[18 to 34 years]] - Table1[[#This Row],[18 to 34 years - No health insurance coverage]]) / Table1[[#This Row],[18 to 34 years]]</f>
        <v>0.74528301886792447</v>
      </c>
      <c r="Z61" s="9">
        <f>IFERROR(Table1[[#This Row],[Coverage Rate ( 18 to 34 years )]], 0)</f>
        <v>0.74528301886792447</v>
      </c>
      <c r="AA61" s="6">
        <v>215</v>
      </c>
      <c r="AB61" s="6">
        <v>201</v>
      </c>
      <c r="AC61" s="6">
        <v>8</v>
      </c>
      <c r="AD61" s="6">
        <v>0</v>
      </c>
      <c r="AE61" s="6">
        <v>6</v>
      </c>
      <c r="AF61" s="6">
        <v>0</v>
      </c>
      <c r="AG61" s="6">
        <v>0</v>
      </c>
      <c r="AH61" s="6">
        <v>22</v>
      </c>
      <c r="AI61" s="6">
        <v>0</v>
      </c>
      <c r="AJ61" s="6">
        <v>0</v>
      </c>
      <c r="AK61" s="6">
        <v>0</v>
      </c>
      <c r="AL61" s="6">
        <v>0</v>
      </c>
      <c r="AM61" s="6">
        <v>0</v>
      </c>
      <c r="AN61" s="6">
        <v>22</v>
      </c>
      <c r="AO61" s="9">
        <f>SUM(Table1[[#This Row],[18 to 34 years - With one type of health insurance coverage]:[18 to 34 years - With two or more types of health insurance coverage &amp; Other coverage combinations]])/Table1[[#This Row],[Total]]</f>
        <v>0.44801512287334594</v>
      </c>
      <c r="AP61" s="9">
        <f>100%-Table1[[#This Row],[18 to 34 years - Penetration rate]]</f>
        <v>0.55198487712665401</v>
      </c>
      <c r="AQ61" s="6">
        <v>81</v>
      </c>
      <c r="AR61" s="6">
        <v>399</v>
      </c>
      <c r="AS61" s="6">
        <f>SUM(Table1[[#This Row],[35 to 64 years - With one type of health insurance coverage]:[35 to 64 years - With two or more types of health insurance coverage &amp; Other coverage combinations]])</f>
        <v>682</v>
      </c>
      <c r="AT61" s="9">
        <f>(Table1[[#This Row],[35 to 64 years]]-Table1[[#This Row],[35 to 64 years - No health insurance coverage]])/Table1[[#This Row],[35 to 64 years]]</f>
        <v>0.85463659147869675</v>
      </c>
      <c r="AU61" s="9">
        <f>IFERROR(Table1[[#This Row],[Coverage Rate ( 35 to 64 years )]], 0)</f>
        <v>0.85463659147869675</v>
      </c>
      <c r="AV61" s="6">
        <v>288</v>
      </c>
      <c r="AW61" s="6">
        <v>217</v>
      </c>
      <c r="AX61" s="6">
        <v>27</v>
      </c>
      <c r="AY61" s="6">
        <v>5</v>
      </c>
      <c r="AZ61" s="6">
        <v>39</v>
      </c>
      <c r="BA61" s="6">
        <v>0</v>
      </c>
      <c r="BB61" s="6">
        <v>0</v>
      </c>
      <c r="BC61" s="6">
        <v>53</v>
      </c>
      <c r="BD61" s="6">
        <v>5</v>
      </c>
      <c r="BE61" s="6">
        <v>0</v>
      </c>
      <c r="BF61" s="6">
        <v>6</v>
      </c>
      <c r="BG61" s="6">
        <v>33</v>
      </c>
      <c r="BH61" s="6">
        <v>9</v>
      </c>
      <c r="BI61" s="6">
        <v>0</v>
      </c>
      <c r="BJ61" s="6">
        <v>0</v>
      </c>
      <c r="BK61" s="9">
        <f>SUM(Table1[[#This Row],[35 to 64 years - With one type of health insurance coverage]:[35 to 64 years - With two or more types of health insurance coverage &amp; Other coverage combinations]])/Table1[[#This Row],[Total]]</f>
        <v>0.64461247637051045</v>
      </c>
      <c r="BL61" s="9">
        <f>100%-Table1[[#This Row],[35 to 64 years - Penetration Rate]]</f>
        <v>0.35538752362948955</v>
      </c>
      <c r="BM61" s="6">
        <v>58</v>
      </c>
      <c r="BN61" s="6">
        <v>194</v>
      </c>
      <c r="BO61" s="6">
        <f>SUM(Table1[[#This Row],[65 years and over - With one type of health insurance coverage]:[65 years and over - With two or more types of health insurance coverage &amp; Other coverage combinations]])</f>
        <v>388</v>
      </c>
      <c r="BP61" s="9">
        <f>(Table1[[#This Row],[65 years and over]]-Table1[[#This Row],[65 years and over - No health insurance coverage]])/Table1[[#This Row],[65 years and over]]</f>
        <v>1</v>
      </c>
      <c r="BQ61" s="9">
        <f>IFERROR(Table1[[#This Row],[Coverage Rate ( 65 years and over )]], 0)</f>
        <v>1</v>
      </c>
      <c r="BR61" s="6">
        <v>48</v>
      </c>
      <c r="BS61" s="6">
        <v>6</v>
      </c>
      <c r="BT61" s="6">
        <v>0</v>
      </c>
      <c r="BU61" s="6">
        <v>42</v>
      </c>
      <c r="BV61" s="6">
        <v>0</v>
      </c>
      <c r="BW61" s="6">
        <v>0</v>
      </c>
      <c r="BX61" s="6">
        <v>146</v>
      </c>
      <c r="BY61" s="6">
        <v>0</v>
      </c>
      <c r="BZ61" s="6">
        <v>31</v>
      </c>
      <c r="CA61" s="6">
        <v>61</v>
      </c>
      <c r="CB61" s="6">
        <v>16</v>
      </c>
      <c r="CC61" s="6">
        <v>0</v>
      </c>
      <c r="CD61" s="6">
        <v>0</v>
      </c>
      <c r="CE61" s="6">
        <v>38</v>
      </c>
      <c r="CF61" s="9">
        <f>SUM(Table1[[#This Row],[65 years and over - With one type of health insurance coverage]:[65 years and over - With two or more types of health insurance coverage &amp; Other coverage combinations]])/Table1[[#This Row],[Total]]</f>
        <v>0.3667296786389414</v>
      </c>
      <c r="CG61" s="9">
        <f>100%-Table1[[#This Row],[65 years and over - Penetration Rate]]</f>
        <v>0.63327032136105865</v>
      </c>
      <c r="CH61" s="6">
        <v>0</v>
      </c>
      <c r="CI61" s="6"/>
    </row>
    <row r="62" spans="1:87" x14ac:dyDescent="0.35">
      <c r="A62" t="s">
        <v>67</v>
      </c>
      <c r="B62">
        <v>61</v>
      </c>
      <c r="C62" s="5">
        <v>3587</v>
      </c>
      <c r="D62" s="5">
        <v>620</v>
      </c>
      <c r="E62" s="5">
        <f>SUM(Table1[[#This Row],[Under 18 years - With one type of health insurance coverage]:[Under 18 years - With two or more types of health insurance coverage &amp; Other coverage combinations]])</f>
        <v>1014</v>
      </c>
      <c r="F62" s="6">
        <v>486</v>
      </c>
      <c r="G62" s="6">
        <v>206</v>
      </c>
      <c r="H62" s="6">
        <v>0</v>
      </c>
      <c r="I62" s="6">
        <v>0</v>
      </c>
      <c r="J62" s="6">
        <v>280</v>
      </c>
      <c r="K62" s="6">
        <v>0</v>
      </c>
      <c r="L62" s="6">
        <v>0</v>
      </c>
      <c r="M62" s="6">
        <v>21</v>
      </c>
      <c r="N62" s="6">
        <v>0</v>
      </c>
      <c r="O62" s="6">
        <v>0</v>
      </c>
      <c r="P62" s="6">
        <v>0</v>
      </c>
      <c r="Q62" s="6">
        <v>4</v>
      </c>
      <c r="R62" s="6">
        <v>0</v>
      </c>
      <c r="S62" s="6">
        <v>17</v>
      </c>
      <c r="T62" s="9">
        <f>SUM(Table1[[#This Row],[Under 18 years - With one type of health insurance coverage]:[Under 18 years - With two or more types of health insurance coverage &amp; Other coverage combinations]])/Table1[[#This Row],[Total]]</f>
        <v>0.28268748257596876</v>
      </c>
      <c r="U62" s="9">
        <f>100%-Table1[[#This Row],[Under 18 years - Penetration Rate]]</f>
        <v>0.71731251742403124</v>
      </c>
      <c r="V62" s="6">
        <v>113</v>
      </c>
      <c r="W62" s="6">
        <v>817</v>
      </c>
      <c r="X62" s="6">
        <f>SUM(Table1[[#This Row],[18 to 34 years - With one type of health insurance coverage]:[18 to 34 years - With two or more types of health insurance coverage &amp; Other coverage combinations]])</f>
        <v>1162</v>
      </c>
      <c r="Y62" s="9">
        <f>(Table1[[#This Row],[18 to 34 years]] - Table1[[#This Row],[18 to 34 years - No health insurance coverage]]) / Table1[[#This Row],[18 to 34 years]]</f>
        <v>0.71113831089351287</v>
      </c>
      <c r="Z62" s="9">
        <f>IFERROR(Table1[[#This Row],[Coverage Rate ( 18 to 34 years )]], 0)</f>
        <v>0.71113831089351287</v>
      </c>
      <c r="AA62" s="6">
        <v>560</v>
      </c>
      <c r="AB62" s="6">
        <v>423</v>
      </c>
      <c r="AC62" s="6">
        <v>59</v>
      </c>
      <c r="AD62" s="6">
        <v>0</v>
      </c>
      <c r="AE62" s="6">
        <v>78</v>
      </c>
      <c r="AF62" s="6">
        <v>0</v>
      </c>
      <c r="AG62" s="6">
        <v>0</v>
      </c>
      <c r="AH62" s="6">
        <v>21</v>
      </c>
      <c r="AI62" s="6">
        <v>4</v>
      </c>
      <c r="AJ62" s="6">
        <v>0</v>
      </c>
      <c r="AK62" s="6">
        <v>0</v>
      </c>
      <c r="AL62" s="6">
        <v>0</v>
      </c>
      <c r="AM62" s="6">
        <v>0</v>
      </c>
      <c r="AN62" s="6">
        <v>17</v>
      </c>
      <c r="AO62" s="9">
        <f>SUM(Table1[[#This Row],[18 to 34 years - With one type of health insurance coverage]:[18 to 34 years - With two or more types of health insurance coverage &amp; Other coverage combinations]])/Table1[[#This Row],[Total]]</f>
        <v>0.32394758851407862</v>
      </c>
      <c r="AP62" s="9">
        <f>100%-Table1[[#This Row],[18 to 34 years - Penetration rate]]</f>
        <v>0.67605241148592143</v>
      </c>
      <c r="AQ62" s="6">
        <v>236</v>
      </c>
      <c r="AR62" s="6">
        <v>1468</v>
      </c>
      <c r="AS62" s="6">
        <f>SUM(Table1[[#This Row],[35 to 64 years - With one type of health insurance coverage]:[35 to 64 years - With two or more types of health insurance coverage &amp; Other coverage combinations]])</f>
        <v>2576</v>
      </c>
      <c r="AT62" s="9">
        <f>(Table1[[#This Row],[35 to 64 years]]-Table1[[#This Row],[35 to 64 years - No health insurance coverage]])/Table1[[#This Row],[35 to 64 years]]</f>
        <v>0.87738419618528607</v>
      </c>
      <c r="AU62" s="9">
        <f>IFERROR(Table1[[#This Row],[Coverage Rate ( 35 to 64 years )]], 0)</f>
        <v>0.87738419618528607</v>
      </c>
      <c r="AV62" s="6">
        <v>1205</v>
      </c>
      <c r="AW62" s="6">
        <v>941</v>
      </c>
      <c r="AX62" s="6">
        <v>71</v>
      </c>
      <c r="AY62" s="6">
        <v>27</v>
      </c>
      <c r="AZ62" s="6">
        <v>162</v>
      </c>
      <c r="BA62" s="6">
        <v>4</v>
      </c>
      <c r="BB62" s="6">
        <v>0</v>
      </c>
      <c r="BC62" s="6">
        <v>83</v>
      </c>
      <c r="BD62" s="6">
        <v>5</v>
      </c>
      <c r="BE62" s="6">
        <v>6</v>
      </c>
      <c r="BF62" s="6">
        <v>10</v>
      </c>
      <c r="BG62" s="6">
        <v>35</v>
      </c>
      <c r="BH62" s="6">
        <v>8</v>
      </c>
      <c r="BI62" s="6">
        <v>4</v>
      </c>
      <c r="BJ62" s="6">
        <v>15</v>
      </c>
      <c r="BK62" s="9">
        <f>SUM(Table1[[#This Row],[35 to 64 years - With one type of health insurance coverage]:[35 to 64 years - With two or more types of health insurance coverage &amp; Other coverage combinations]])/Table1[[#This Row],[Total]]</f>
        <v>0.71814887092277668</v>
      </c>
      <c r="BL62" s="9">
        <f>100%-Table1[[#This Row],[35 to 64 years - Penetration Rate]]</f>
        <v>0.28185112907722332</v>
      </c>
      <c r="BM62" s="6">
        <v>180</v>
      </c>
      <c r="BN62" s="6">
        <v>682</v>
      </c>
      <c r="BO62" s="6">
        <f>SUM(Table1[[#This Row],[65 years and over - With one type of health insurance coverage]:[65 years and over - With two or more types of health insurance coverage &amp; Other coverage combinations]])</f>
        <v>1364</v>
      </c>
      <c r="BP62" s="9">
        <f>(Table1[[#This Row],[65 years and over]]-Table1[[#This Row],[65 years and over - No health insurance coverage]])/Table1[[#This Row],[65 years and over]]</f>
        <v>1</v>
      </c>
      <c r="BQ62" s="9">
        <f>IFERROR(Table1[[#This Row],[Coverage Rate ( 65 years and over )]], 0)</f>
        <v>1</v>
      </c>
      <c r="BR62" s="6">
        <v>115</v>
      </c>
      <c r="BS62" s="6">
        <v>10</v>
      </c>
      <c r="BT62" s="6">
        <v>0</v>
      </c>
      <c r="BU62" s="6">
        <v>105</v>
      </c>
      <c r="BV62" s="6">
        <v>0</v>
      </c>
      <c r="BW62" s="6">
        <v>0</v>
      </c>
      <c r="BX62" s="6">
        <v>567</v>
      </c>
      <c r="BY62" s="6">
        <v>0</v>
      </c>
      <c r="BZ62" s="6">
        <v>185</v>
      </c>
      <c r="CA62" s="6">
        <v>171</v>
      </c>
      <c r="CB62" s="6">
        <v>29</v>
      </c>
      <c r="CC62" s="6">
        <v>0</v>
      </c>
      <c r="CD62" s="6">
        <v>10</v>
      </c>
      <c r="CE62" s="6">
        <v>172</v>
      </c>
      <c r="CF62" s="9">
        <f>SUM(Table1[[#This Row],[65 years and over - With one type of health insurance coverage]:[65 years and over - With two or more types of health insurance coverage &amp; Other coverage combinations]])/Table1[[#This Row],[Total]]</f>
        <v>0.38026205742960689</v>
      </c>
      <c r="CG62" s="9">
        <f>100%-Table1[[#This Row],[65 years and over - Penetration Rate]]</f>
        <v>0.61973794257039305</v>
      </c>
      <c r="CH62" s="6">
        <v>0</v>
      </c>
      <c r="CI62" s="6"/>
    </row>
    <row r="63" spans="1:87" x14ac:dyDescent="0.35">
      <c r="A63" t="s">
        <v>68</v>
      </c>
      <c r="B63">
        <v>62</v>
      </c>
      <c r="C63" s="5">
        <v>3744</v>
      </c>
      <c r="D63" s="5">
        <v>640</v>
      </c>
      <c r="E63" s="5">
        <f>SUM(Table1[[#This Row],[Under 18 years - With one type of health insurance coverage]:[Under 18 years - With two or more types of health insurance coverage &amp; Other coverage combinations]])</f>
        <v>1280</v>
      </c>
      <c r="F63" s="6">
        <v>628</v>
      </c>
      <c r="G63" s="6">
        <v>422</v>
      </c>
      <c r="H63" s="6">
        <v>0</v>
      </c>
      <c r="I63" s="6">
        <v>0</v>
      </c>
      <c r="J63" s="6">
        <v>206</v>
      </c>
      <c r="K63" s="6">
        <v>0</v>
      </c>
      <c r="L63" s="6">
        <v>0</v>
      </c>
      <c r="M63" s="6">
        <v>12</v>
      </c>
      <c r="N63" s="6">
        <v>0</v>
      </c>
      <c r="O63" s="6">
        <v>0</v>
      </c>
      <c r="P63" s="6">
        <v>0</v>
      </c>
      <c r="Q63" s="6">
        <v>0</v>
      </c>
      <c r="R63" s="6">
        <v>0</v>
      </c>
      <c r="S63" s="6">
        <v>12</v>
      </c>
      <c r="T63" s="9">
        <f>SUM(Table1[[#This Row],[Under 18 years - With one type of health insurance coverage]:[Under 18 years - With two or more types of health insurance coverage &amp; Other coverage combinations]])/Table1[[#This Row],[Total]]</f>
        <v>0.34188034188034189</v>
      </c>
      <c r="U63" s="9">
        <f>100%-Table1[[#This Row],[Under 18 years - Penetration Rate]]</f>
        <v>0.65811965811965811</v>
      </c>
      <c r="V63" s="6">
        <v>0</v>
      </c>
      <c r="W63" s="6">
        <v>957</v>
      </c>
      <c r="X63" s="6">
        <f>SUM(Table1[[#This Row],[18 to 34 years - With one type of health insurance coverage]:[18 to 34 years - With two or more types of health insurance coverage &amp; Other coverage combinations]])</f>
        <v>1674</v>
      </c>
      <c r="Y63" s="9">
        <f>(Table1[[#This Row],[18 to 34 years]] - Table1[[#This Row],[18 to 34 years - No health insurance coverage]]) / Table1[[#This Row],[18 to 34 years]]</f>
        <v>0.87460815047021945</v>
      </c>
      <c r="Z63" s="9">
        <f>IFERROR(Table1[[#This Row],[Coverage Rate ( 18 to 34 years )]], 0)</f>
        <v>0.87460815047021945</v>
      </c>
      <c r="AA63" s="6">
        <v>791</v>
      </c>
      <c r="AB63" s="6">
        <v>641</v>
      </c>
      <c r="AC63" s="6">
        <v>44</v>
      </c>
      <c r="AD63" s="6">
        <v>5</v>
      </c>
      <c r="AE63" s="6">
        <v>94</v>
      </c>
      <c r="AF63" s="6">
        <v>7</v>
      </c>
      <c r="AG63" s="6">
        <v>0</v>
      </c>
      <c r="AH63" s="6">
        <v>46</v>
      </c>
      <c r="AI63" s="6">
        <v>9</v>
      </c>
      <c r="AJ63" s="6">
        <v>0</v>
      </c>
      <c r="AK63" s="6">
        <v>9</v>
      </c>
      <c r="AL63" s="6">
        <v>0</v>
      </c>
      <c r="AM63" s="6">
        <v>0</v>
      </c>
      <c r="AN63" s="6">
        <v>28</v>
      </c>
      <c r="AO63" s="9">
        <f>SUM(Table1[[#This Row],[18 to 34 years - With one type of health insurance coverage]:[18 to 34 years - With two or more types of health insurance coverage &amp; Other coverage combinations]])/Table1[[#This Row],[Total]]</f>
        <v>0.44711538461538464</v>
      </c>
      <c r="AP63" s="9">
        <f>100%-Table1[[#This Row],[18 to 34 years - Penetration rate]]</f>
        <v>0.55288461538461542</v>
      </c>
      <c r="AQ63" s="6">
        <v>120</v>
      </c>
      <c r="AR63" s="6">
        <v>1693</v>
      </c>
      <c r="AS63" s="6">
        <f>SUM(Table1[[#This Row],[35 to 64 years - With one type of health insurance coverage]:[35 to 64 years - With two or more types of health insurance coverage &amp; Other coverage combinations]])</f>
        <v>3032</v>
      </c>
      <c r="AT63" s="9">
        <f>(Table1[[#This Row],[35 to 64 years]]-Table1[[#This Row],[35 to 64 years - No health insurance coverage]])/Table1[[#This Row],[35 to 64 years]]</f>
        <v>0.89545186060248083</v>
      </c>
      <c r="AU63" s="9">
        <f>IFERROR(Table1[[#This Row],[Coverage Rate ( 35 to 64 years )]], 0)</f>
        <v>0.89545186060248083</v>
      </c>
      <c r="AV63" s="6">
        <v>1424</v>
      </c>
      <c r="AW63" s="6">
        <v>1151</v>
      </c>
      <c r="AX63" s="6">
        <v>73</v>
      </c>
      <c r="AY63" s="6">
        <v>46</v>
      </c>
      <c r="AZ63" s="6">
        <v>142</v>
      </c>
      <c r="BA63" s="6">
        <v>0</v>
      </c>
      <c r="BB63" s="6">
        <v>12</v>
      </c>
      <c r="BC63" s="6">
        <v>92</v>
      </c>
      <c r="BD63" s="6">
        <v>12</v>
      </c>
      <c r="BE63" s="6">
        <v>19</v>
      </c>
      <c r="BF63" s="6">
        <v>0</v>
      </c>
      <c r="BG63" s="6">
        <v>0</v>
      </c>
      <c r="BH63" s="6">
        <v>5</v>
      </c>
      <c r="BI63" s="6">
        <v>0</v>
      </c>
      <c r="BJ63" s="6">
        <v>56</v>
      </c>
      <c r="BK63" s="9">
        <f>SUM(Table1[[#This Row],[35 to 64 years - With one type of health insurance coverage]:[35 to 64 years - With two or more types of health insurance coverage &amp; Other coverage combinations]])/Table1[[#This Row],[Total]]</f>
        <v>0.80982905982905984</v>
      </c>
      <c r="BL63" s="9">
        <f>100%-Table1[[#This Row],[35 to 64 years - Penetration Rate]]</f>
        <v>0.19017094017094016</v>
      </c>
      <c r="BM63" s="6">
        <v>177</v>
      </c>
      <c r="BN63" s="6">
        <v>454</v>
      </c>
      <c r="BO63" s="6">
        <f>SUM(Table1[[#This Row],[65 years and over - With one type of health insurance coverage]:[65 years and over - With two or more types of health insurance coverage &amp; Other coverage combinations]])</f>
        <v>908</v>
      </c>
      <c r="BP63" s="9">
        <f>(Table1[[#This Row],[65 years and over]]-Table1[[#This Row],[65 years and over - No health insurance coverage]])/Table1[[#This Row],[65 years and over]]</f>
        <v>1</v>
      </c>
      <c r="BQ63" s="9">
        <f>IFERROR(Table1[[#This Row],[Coverage Rate ( 65 years and over )]], 0)</f>
        <v>1</v>
      </c>
      <c r="BR63" s="6">
        <v>107</v>
      </c>
      <c r="BS63" s="6">
        <v>24</v>
      </c>
      <c r="BT63" s="6">
        <v>0</v>
      </c>
      <c r="BU63" s="6">
        <v>83</v>
      </c>
      <c r="BV63" s="6">
        <v>0</v>
      </c>
      <c r="BW63" s="6">
        <v>0</v>
      </c>
      <c r="BX63" s="6">
        <v>347</v>
      </c>
      <c r="BY63" s="6">
        <v>0</v>
      </c>
      <c r="BZ63" s="6">
        <v>116</v>
      </c>
      <c r="CA63" s="6">
        <v>71</v>
      </c>
      <c r="CB63" s="6">
        <v>84</v>
      </c>
      <c r="CC63" s="6">
        <v>0</v>
      </c>
      <c r="CD63" s="6">
        <v>5</v>
      </c>
      <c r="CE63" s="6">
        <v>71</v>
      </c>
      <c r="CF63" s="9">
        <f>SUM(Table1[[#This Row],[65 years and over - With one type of health insurance coverage]:[65 years and over - With two or more types of health insurance coverage &amp; Other coverage combinations]])/Table1[[#This Row],[Total]]</f>
        <v>0.24252136752136752</v>
      </c>
      <c r="CG63" s="9">
        <f>100%-Table1[[#This Row],[65 years and over - Penetration Rate]]</f>
        <v>0.75747863247863245</v>
      </c>
      <c r="CH63" s="6">
        <v>0</v>
      </c>
      <c r="CI63" s="6"/>
    </row>
    <row r="64" spans="1:87" x14ac:dyDescent="0.35">
      <c r="A64" t="s">
        <v>69</v>
      </c>
      <c r="B64">
        <v>63</v>
      </c>
      <c r="C64" s="5">
        <v>3288</v>
      </c>
      <c r="D64" s="5">
        <v>829</v>
      </c>
      <c r="E64" s="5">
        <f>SUM(Table1[[#This Row],[Under 18 years - With one type of health insurance coverage]:[Under 18 years - With two or more types of health insurance coverage &amp; Other coverage combinations]])</f>
        <v>1626</v>
      </c>
      <c r="F64" s="6">
        <v>771</v>
      </c>
      <c r="G64" s="6">
        <v>112</v>
      </c>
      <c r="H64" s="6">
        <v>17</v>
      </c>
      <c r="I64" s="6">
        <v>0</v>
      </c>
      <c r="J64" s="6">
        <v>642</v>
      </c>
      <c r="K64" s="6">
        <v>0</v>
      </c>
      <c r="L64" s="6">
        <v>0</v>
      </c>
      <c r="M64" s="6">
        <v>42</v>
      </c>
      <c r="N64" s="6">
        <v>0</v>
      </c>
      <c r="O64" s="6">
        <v>0</v>
      </c>
      <c r="P64" s="6">
        <v>0</v>
      </c>
      <c r="Q64" s="6">
        <v>8</v>
      </c>
      <c r="R64" s="6">
        <v>0</v>
      </c>
      <c r="S64" s="6">
        <v>34</v>
      </c>
      <c r="T64" s="9">
        <f>SUM(Table1[[#This Row],[Under 18 years - With one type of health insurance coverage]:[Under 18 years - With two or more types of health insurance coverage &amp; Other coverage combinations]])/Table1[[#This Row],[Total]]</f>
        <v>0.49452554744525545</v>
      </c>
      <c r="U64" s="9">
        <f>100%-Table1[[#This Row],[Under 18 years - Penetration Rate]]</f>
        <v>0.50547445255474455</v>
      </c>
      <c r="V64" s="6">
        <v>16</v>
      </c>
      <c r="W64" s="6">
        <v>701</v>
      </c>
      <c r="X64" s="6">
        <f>SUM(Table1[[#This Row],[18 to 34 years - With one type of health insurance coverage]:[18 to 34 years - With two or more types of health insurance coverage &amp; Other coverage combinations]])</f>
        <v>1224</v>
      </c>
      <c r="Y64" s="9">
        <f>(Table1[[#This Row],[18 to 34 years]] - Table1[[#This Row],[18 to 34 years - No health insurance coverage]]) / Table1[[#This Row],[18 to 34 years]]</f>
        <v>0.87303851640513552</v>
      </c>
      <c r="Z64" s="9">
        <f>IFERROR(Table1[[#This Row],[Coverage Rate ( 18 to 34 years )]], 0)</f>
        <v>0.87303851640513552</v>
      </c>
      <c r="AA64" s="6">
        <v>612</v>
      </c>
      <c r="AB64" s="6">
        <v>274</v>
      </c>
      <c r="AC64" s="6">
        <v>49</v>
      </c>
      <c r="AD64" s="6">
        <v>0</v>
      </c>
      <c r="AE64" s="6">
        <v>289</v>
      </c>
      <c r="AF64" s="6">
        <v>0</v>
      </c>
      <c r="AG64" s="6">
        <v>0</v>
      </c>
      <c r="AH64" s="6">
        <v>0</v>
      </c>
      <c r="AI64" s="6">
        <v>0</v>
      </c>
      <c r="AJ64" s="6">
        <v>0</v>
      </c>
      <c r="AK64" s="6">
        <v>0</v>
      </c>
      <c r="AL64" s="6">
        <v>0</v>
      </c>
      <c r="AM64" s="6">
        <v>0</v>
      </c>
      <c r="AN64" s="6">
        <v>0</v>
      </c>
      <c r="AO64" s="9">
        <f>SUM(Table1[[#This Row],[18 to 34 years - With one type of health insurance coverage]:[18 to 34 years - With two or more types of health insurance coverage &amp; Other coverage combinations]])/Table1[[#This Row],[Total]]</f>
        <v>0.37226277372262773</v>
      </c>
      <c r="AP64" s="9">
        <f>100%-Table1[[#This Row],[18 to 34 years - Penetration rate]]</f>
        <v>0.62773722627737227</v>
      </c>
      <c r="AQ64" s="6">
        <v>89</v>
      </c>
      <c r="AR64" s="6">
        <v>1193</v>
      </c>
      <c r="AS64" s="6">
        <f>SUM(Table1[[#This Row],[35 to 64 years - With one type of health insurance coverage]:[35 to 64 years - With two or more types of health insurance coverage &amp; Other coverage combinations]])</f>
        <v>1950</v>
      </c>
      <c r="AT64" s="9">
        <f>(Table1[[#This Row],[35 to 64 years]]-Table1[[#This Row],[35 to 64 years - No health insurance coverage]])/Table1[[#This Row],[35 to 64 years]]</f>
        <v>0.81726739312657171</v>
      </c>
      <c r="AU64" s="9">
        <f>IFERROR(Table1[[#This Row],[Coverage Rate ( 35 to 64 years )]], 0)</f>
        <v>0.81726739312657171</v>
      </c>
      <c r="AV64" s="6">
        <v>720</v>
      </c>
      <c r="AW64" s="6">
        <v>501</v>
      </c>
      <c r="AX64" s="6">
        <v>27</v>
      </c>
      <c r="AY64" s="6">
        <v>66</v>
      </c>
      <c r="AZ64" s="6">
        <v>126</v>
      </c>
      <c r="BA64" s="6">
        <v>0</v>
      </c>
      <c r="BB64" s="6">
        <v>0</v>
      </c>
      <c r="BC64" s="6">
        <v>255</v>
      </c>
      <c r="BD64" s="6">
        <v>46</v>
      </c>
      <c r="BE64" s="6">
        <v>18</v>
      </c>
      <c r="BF64" s="6">
        <v>0</v>
      </c>
      <c r="BG64" s="6">
        <v>77</v>
      </c>
      <c r="BH64" s="6">
        <v>36</v>
      </c>
      <c r="BI64" s="6">
        <v>0</v>
      </c>
      <c r="BJ64" s="6">
        <v>78</v>
      </c>
      <c r="BK64" s="9">
        <f>SUM(Table1[[#This Row],[35 to 64 years - With one type of health insurance coverage]:[35 to 64 years - With two or more types of health insurance coverage &amp; Other coverage combinations]])/Table1[[#This Row],[Total]]</f>
        <v>0.59306569343065696</v>
      </c>
      <c r="BL64" s="9">
        <f>100%-Table1[[#This Row],[35 to 64 years - Penetration Rate]]</f>
        <v>0.40693430656934304</v>
      </c>
      <c r="BM64" s="6">
        <v>218</v>
      </c>
      <c r="BN64" s="6">
        <v>565</v>
      </c>
      <c r="BO64" s="6">
        <f>SUM(Table1[[#This Row],[65 years and over - With one type of health insurance coverage]:[65 years and over - With two or more types of health insurance coverage &amp; Other coverage combinations]])</f>
        <v>1124</v>
      </c>
      <c r="BP64" s="9">
        <f>(Table1[[#This Row],[65 years and over]]-Table1[[#This Row],[65 years and over - No health insurance coverage]])/Table1[[#This Row],[65 years and over]]</f>
        <v>0.99469026548672568</v>
      </c>
      <c r="BQ64" s="9">
        <f>IFERROR(Table1[[#This Row],[Coverage Rate ( 65 years and over )]], 0)</f>
        <v>0.99469026548672568</v>
      </c>
      <c r="BR64" s="6">
        <v>119</v>
      </c>
      <c r="BS64" s="6">
        <v>13</v>
      </c>
      <c r="BT64" s="6">
        <v>0</v>
      </c>
      <c r="BU64" s="6">
        <v>106</v>
      </c>
      <c r="BV64" s="6">
        <v>0</v>
      </c>
      <c r="BW64" s="6">
        <v>0</v>
      </c>
      <c r="BX64" s="6">
        <v>443</v>
      </c>
      <c r="BY64" s="6">
        <v>0</v>
      </c>
      <c r="BZ64" s="6">
        <v>90</v>
      </c>
      <c r="CA64" s="6">
        <v>75</v>
      </c>
      <c r="CB64" s="6">
        <v>163</v>
      </c>
      <c r="CC64" s="6">
        <v>0</v>
      </c>
      <c r="CD64" s="6">
        <v>0</v>
      </c>
      <c r="CE64" s="6">
        <v>115</v>
      </c>
      <c r="CF64" s="9">
        <f>SUM(Table1[[#This Row],[65 years and over - With one type of health insurance coverage]:[65 years and over - With two or more types of health insurance coverage &amp; Other coverage combinations]])/Table1[[#This Row],[Total]]</f>
        <v>0.34184914841849151</v>
      </c>
      <c r="CG64" s="9">
        <f>100%-Table1[[#This Row],[65 years and over - Penetration Rate]]</f>
        <v>0.65815085158150843</v>
      </c>
      <c r="CH64" s="6">
        <v>3</v>
      </c>
      <c r="CI64" s="6"/>
    </row>
    <row r="65" spans="1:87" x14ac:dyDescent="0.35">
      <c r="A65" t="s">
        <v>70</v>
      </c>
      <c r="B65">
        <v>64</v>
      </c>
      <c r="C65" s="5">
        <v>5414</v>
      </c>
      <c r="D65" s="5">
        <v>1043</v>
      </c>
      <c r="E65" s="5">
        <f>SUM(Table1[[#This Row],[Under 18 years - With one type of health insurance coverage]:[Under 18 years - With two or more types of health insurance coverage &amp; Other coverage combinations]])</f>
        <v>2066</v>
      </c>
      <c r="F65" s="6">
        <v>988</v>
      </c>
      <c r="G65" s="6">
        <v>814</v>
      </c>
      <c r="H65" s="6">
        <v>89</v>
      </c>
      <c r="I65" s="6">
        <v>0</v>
      </c>
      <c r="J65" s="6">
        <v>85</v>
      </c>
      <c r="K65" s="6">
        <v>0</v>
      </c>
      <c r="L65" s="6">
        <v>0</v>
      </c>
      <c r="M65" s="6">
        <v>45</v>
      </c>
      <c r="N65" s="6">
        <v>16</v>
      </c>
      <c r="O65" s="6">
        <v>0</v>
      </c>
      <c r="P65" s="6">
        <v>0</v>
      </c>
      <c r="Q65" s="6">
        <v>0</v>
      </c>
      <c r="R65" s="6">
        <v>0</v>
      </c>
      <c r="S65" s="6">
        <v>29</v>
      </c>
      <c r="T65" s="9">
        <f>SUM(Table1[[#This Row],[Under 18 years - With one type of health insurance coverage]:[Under 18 years - With two or more types of health insurance coverage &amp; Other coverage combinations]])/Table1[[#This Row],[Total]]</f>
        <v>0.38160325083117841</v>
      </c>
      <c r="U65" s="9">
        <f>100%-Table1[[#This Row],[Under 18 years - Penetration Rate]]</f>
        <v>0.61839674916882159</v>
      </c>
      <c r="V65" s="6">
        <v>10</v>
      </c>
      <c r="W65" s="6">
        <v>1170</v>
      </c>
      <c r="X65" s="6">
        <f>SUM(Table1[[#This Row],[18 to 34 years - With one type of health insurance coverage]:[18 to 34 years - With two or more types of health insurance coverage &amp; Other coverage combinations]])</f>
        <v>2222</v>
      </c>
      <c r="Y65" s="9">
        <f>(Table1[[#This Row],[18 to 34 years]] - Table1[[#This Row],[18 to 34 years - No health insurance coverage]]) / Table1[[#This Row],[18 to 34 years]]</f>
        <v>0.94957264957264953</v>
      </c>
      <c r="Z65" s="9">
        <f>IFERROR(Table1[[#This Row],[Coverage Rate ( 18 to 34 years )]], 0)</f>
        <v>0.94957264957264953</v>
      </c>
      <c r="AA65" s="6">
        <v>1056</v>
      </c>
      <c r="AB65" s="6">
        <v>879</v>
      </c>
      <c r="AC65" s="6">
        <v>139</v>
      </c>
      <c r="AD65" s="6">
        <v>0</v>
      </c>
      <c r="AE65" s="6">
        <v>38</v>
      </c>
      <c r="AF65" s="6">
        <v>0</v>
      </c>
      <c r="AG65" s="6">
        <v>0</v>
      </c>
      <c r="AH65" s="6">
        <v>55</v>
      </c>
      <c r="AI65" s="6">
        <v>42</v>
      </c>
      <c r="AJ65" s="6">
        <v>0</v>
      </c>
      <c r="AK65" s="6">
        <v>0</v>
      </c>
      <c r="AL65" s="6">
        <v>0</v>
      </c>
      <c r="AM65" s="6">
        <v>0</v>
      </c>
      <c r="AN65" s="6">
        <v>13</v>
      </c>
      <c r="AO65" s="9">
        <f>SUM(Table1[[#This Row],[18 to 34 years - With one type of health insurance coverage]:[18 to 34 years - With two or more types of health insurance coverage &amp; Other coverage combinations]])/Table1[[#This Row],[Total]]</f>
        <v>0.41041743627632066</v>
      </c>
      <c r="AP65" s="9">
        <f>100%-Table1[[#This Row],[18 to 34 years - Penetration rate]]</f>
        <v>0.58958256372367934</v>
      </c>
      <c r="AQ65" s="6">
        <v>59</v>
      </c>
      <c r="AR65" s="6">
        <v>2323</v>
      </c>
      <c r="AS65" s="6">
        <f>SUM(Table1[[#This Row],[35 to 64 years - With one type of health insurance coverage]:[35 to 64 years - With two or more types of health insurance coverage &amp; Other coverage combinations]])</f>
        <v>4444</v>
      </c>
      <c r="AT65" s="9">
        <f>(Table1[[#This Row],[35 to 64 years]]-Table1[[#This Row],[35 to 64 years - No health insurance coverage]])/Table1[[#This Row],[35 to 64 years]]</f>
        <v>0.95652173913043481</v>
      </c>
      <c r="AU65" s="9">
        <f>IFERROR(Table1[[#This Row],[Coverage Rate ( 35 to 64 years )]], 0)</f>
        <v>0.95652173913043481</v>
      </c>
      <c r="AV65" s="6">
        <v>2084</v>
      </c>
      <c r="AW65" s="6">
        <v>1791</v>
      </c>
      <c r="AX65" s="6">
        <v>213</v>
      </c>
      <c r="AY65" s="6">
        <v>32</v>
      </c>
      <c r="AZ65" s="6">
        <v>48</v>
      </c>
      <c r="BA65" s="6">
        <v>0</v>
      </c>
      <c r="BB65" s="6">
        <v>0</v>
      </c>
      <c r="BC65" s="6">
        <v>138</v>
      </c>
      <c r="BD65" s="6">
        <v>73</v>
      </c>
      <c r="BE65" s="6">
        <v>8</v>
      </c>
      <c r="BF65" s="6">
        <v>0</v>
      </c>
      <c r="BG65" s="6">
        <v>13</v>
      </c>
      <c r="BH65" s="6">
        <v>7</v>
      </c>
      <c r="BI65" s="6">
        <v>0</v>
      </c>
      <c r="BJ65" s="6">
        <v>37</v>
      </c>
      <c r="BK65" s="9">
        <f>SUM(Table1[[#This Row],[35 to 64 years - With one type of health insurance coverage]:[35 to 64 years - With two or more types of health insurance coverage &amp; Other coverage combinations]])/Table1[[#This Row],[Total]]</f>
        <v>0.82083487255264131</v>
      </c>
      <c r="BL65" s="9">
        <f>100%-Table1[[#This Row],[35 to 64 years - Penetration Rate]]</f>
        <v>0.17916512744735869</v>
      </c>
      <c r="BM65" s="6">
        <v>101</v>
      </c>
      <c r="BN65" s="6">
        <v>878</v>
      </c>
      <c r="BO65" s="6">
        <f>SUM(Table1[[#This Row],[65 years and over - With one type of health insurance coverage]:[65 years and over - With two or more types of health insurance coverage &amp; Other coverage combinations]])</f>
        <v>1756</v>
      </c>
      <c r="BP65" s="9">
        <f>(Table1[[#This Row],[65 years and over]]-Table1[[#This Row],[65 years and over - No health insurance coverage]])/Table1[[#This Row],[65 years and over]]</f>
        <v>1</v>
      </c>
      <c r="BQ65" s="9">
        <f>IFERROR(Table1[[#This Row],[Coverage Rate ( 65 years and over )]], 0)</f>
        <v>1</v>
      </c>
      <c r="BR65" s="6">
        <v>228</v>
      </c>
      <c r="BS65" s="6">
        <v>30</v>
      </c>
      <c r="BT65" s="6">
        <v>5</v>
      </c>
      <c r="BU65" s="6">
        <v>193</v>
      </c>
      <c r="BV65" s="6">
        <v>0</v>
      </c>
      <c r="BW65" s="6">
        <v>0</v>
      </c>
      <c r="BX65" s="6">
        <v>650</v>
      </c>
      <c r="BY65" s="6">
        <v>0</v>
      </c>
      <c r="BZ65" s="6">
        <v>306</v>
      </c>
      <c r="CA65" s="6">
        <v>214</v>
      </c>
      <c r="CB65" s="6">
        <v>10</v>
      </c>
      <c r="CC65" s="6">
        <v>0</v>
      </c>
      <c r="CD65" s="6">
        <v>8</v>
      </c>
      <c r="CE65" s="6">
        <v>112</v>
      </c>
      <c r="CF65" s="9">
        <f>SUM(Table1[[#This Row],[65 years and over - With one type of health insurance coverage]:[65 years and over - With two or more types of health insurance coverage &amp; Other coverage combinations]])/Table1[[#This Row],[Total]]</f>
        <v>0.32434429257480607</v>
      </c>
      <c r="CG65" s="9">
        <f>100%-Table1[[#This Row],[65 years and over - Penetration Rate]]</f>
        <v>0.67565570742519387</v>
      </c>
      <c r="CH65" s="6">
        <v>0</v>
      </c>
      <c r="CI65" s="6"/>
    </row>
    <row r="66" spans="1:87" x14ac:dyDescent="0.35">
      <c r="A66" t="s">
        <v>71</v>
      </c>
      <c r="B66">
        <v>65</v>
      </c>
      <c r="C66" s="5">
        <v>1714</v>
      </c>
      <c r="D66" s="5">
        <v>127</v>
      </c>
      <c r="E66" s="5">
        <f>SUM(Table1[[#This Row],[Under 18 years - With one type of health insurance coverage]:[Under 18 years - With two or more types of health insurance coverage &amp; Other coverage combinations]])</f>
        <v>254</v>
      </c>
      <c r="F66" s="6">
        <v>127</v>
      </c>
      <c r="G66" s="6">
        <v>68</v>
      </c>
      <c r="H66" s="6">
        <v>8</v>
      </c>
      <c r="I66" s="6">
        <v>11</v>
      </c>
      <c r="J66" s="6">
        <v>40</v>
      </c>
      <c r="K66" s="6">
        <v>0</v>
      </c>
      <c r="L66" s="6">
        <v>0</v>
      </c>
      <c r="M66" s="6">
        <v>0</v>
      </c>
      <c r="N66" s="6">
        <v>0</v>
      </c>
      <c r="O66" s="6">
        <v>0</v>
      </c>
      <c r="P66" s="6">
        <v>0</v>
      </c>
      <c r="Q66" s="6">
        <v>0</v>
      </c>
      <c r="R66" s="6">
        <v>0</v>
      </c>
      <c r="S66" s="6">
        <v>0</v>
      </c>
      <c r="T66" s="9">
        <f>SUM(Table1[[#This Row],[Under 18 years - With one type of health insurance coverage]:[Under 18 years - With two or more types of health insurance coverage &amp; Other coverage combinations]])/Table1[[#This Row],[Total]]</f>
        <v>0.14819136522753792</v>
      </c>
      <c r="U66" s="9">
        <f>100%-Table1[[#This Row],[Under 18 years - Penetration Rate]]</f>
        <v>0.85180863477246205</v>
      </c>
      <c r="V66" s="6">
        <v>0</v>
      </c>
      <c r="W66" s="6">
        <v>693</v>
      </c>
      <c r="X66" s="6">
        <f>SUM(Table1[[#This Row],[18 to 34 years - With one type of health insurance coverage]:[18 to 34 years - With two or more types of health insurance coverage &amp; Other coverage combinations]])</f>
        <v>1320</v>
      </c>
      <c r="Y66" s="9">
        <f>(Table1[[#This Row],[18 to 34 years]] - Table1[[#This Row],[18 to 34 years - No health insurance coverage]]) / Table1[[#This Row],[18 to 34 years]]</f>
        <v>0.95238095238095233</v>
      </c>
      <c r="Z66" s="9">
        <f>IFERROR(Table1[[#This Row],[Coverage Rate ( 18 to 34 years )]], 0)</f>
        <v>0.95238095238095233</v>
      </c>
      <c r="AA66" s="6">
        <v>610</v>
      </c>
      <c r="AB66" s="6">
        <v>449</v>
      </c>
      <c r="AC66" s="6">
        <v>105</v>
      </c>
      <c r="AD66" s="6">
        <v>0</v>
      </c>
      <c r="AE66" s="6">
        <v>56</v>
      </c>
      <c r="AF66" s="6">
        <v>0</v>
      </c>
      <c r="AG66" s="6">
        <v>0</v>
      </c>
      <c r="AH66" s="6">
        <v>50</v>
      </c>
      <c r="AI66" s="6">
        <v>18</v>
      </c>
      <c r="AJ66" s="6">
        <v>0</v>
      </c>
      <c r="AK66" s="6">
        <v>0</v>
      </c>
      <c r="AL66" s="6">
        <v>0</v>
      </c>
      <c r="AM66" s="6">
        <v>0</v>
      </c>
      <c r="AN66" s="6">
        <v>32</v>
      </c>
      <c r="AO66" s="9">
        <f>SUM(Table1[[#This Row],[18 to 34 years - With one type of health insurance coverage]:[18 to 34 years - With two or more types of health insurance coverage &amp; Other coverage combinations]])/Table1[[#This Row],[Total]]</f>
        <v>0.77012835472578767</v>
      </c>
      <c r="AP66" s="9">
        <f>100%-Table1[[#This Row],[18 to 34 years - Penetration rate]]</f>
        <v>0.22987164527421233</v>
      </c>
      <c r="AQ66" s="6">
        <v>33</v>
      </c>
      <c r="AR66" s="6">
        <v>696</v>
      </c>
      <c r="AS66" s="6">
        <f>SUM(Table1[[#This Row],[35 to 64 years - With one type of health insurance coverage]:[35 to 64 years - With two or more types of health insurance coverage &amp; Other coverage combinations]])</f>
        <v>1144</v>
      </c>
      <c r="AT66" s="9">
        <f>(Table1[[#This Row],[35 to 64 years]]-Table1[[#This Row],[35 to 64 years - No health insurance coverage]])/Table1[[#This Row],[35 to 64 years]]</f>
        <v>0.82183908045977017</v>
      </c>
      <c r="AU66" s="9">
        <f>IFERROR(Table1[[#This Row],[Coverage Rate ( 35 to 64 years )]], 0)</f>
        <v>0.82183908045977017</v>
      </c>
      <c r="AV66" s="6">
        <v>483</v>
      </c>
      <c r="AW66" s="6">
        <v>390</v>
      </c>
      <c r="AX66" s="6">
        <v>76</v>
      </c>
      <c r="AY66" s="6">
        <v>7</v>
      </c>
      <c r="AZ66" s="6">
        <v>10</v>
      </c>
      <c r="BA66" s="6">
        <v>0</v>
      </c>
      <c r="BB66" s="6">
        <v>0</v>
      </c>
      <c r="BC66" s="6">
        <v>89</v>
      </c>
      <c r="BD66" s="6">
        <v>46</v>
      </c>
      <c r="BE66" s="6">
        <v>0</v>
      </c>
      <c r="BF66" s="6">
        <v>0</v>
      </c>
      <c r="BG66" s="6">
        <v>0</v>
      </c>
      <c r="BH66" s="6">
        <v>0</v>
      </c>
      <c r="BI66" s="6">
        <v>43</v>
      </c>
      <c r="BJ66" s="6">
        <v>0</v>
      </c>
      <c r="BK66" s="9">
        <f>SUM(Table1[[#This Row],[35 to 64 years - With one type of health insurance coverage]:[35 to 64 years - With two or more types of health insurance coverage &amp; Other coverage combinations]])/Table1[[#This Row],[Total]]</f>
        <v>0.66744457409568259</v>
      </c>
      <c r="BL66" s="9">
        <f>100%-Table1[[#This Row],[35 to 64 years - Penetration Rate]]</f>
        <v>0.33255542590431741</v>
      </c>
      <c r="BM66" s="6">
        <v>124</v>
      </c>
      <c r="BN66" s="6">
        <v>198</v>
      </c>
      <c r="BO66" s="6">
        <f>SUM(Table1[[#This Row],[65 years and over - With one type of health insurance coverage]:[65 years and over - With two or more types of health insurance coverage &amp; Other coverage combinations]])</f>
        <v>396</v>
      </c>
      <c r="BP66" s="9">
        <f>(Table1[[#This Row],[65 years and over]]-Table1[[#This Row],[65 years and over - No health insurance coverage]])/Table1[[#This Row],[65 years and over]]</f>
        <v>1</v>
      </c>
      <c r="BQ66" s="9">
        <f>IFERROR(Table1[[#This Row],[Coverage Rate ( 65 years and over )]], 0)</f>
        <v>1</v>
      </c>
      <c r="BR66" s="6">
        <v>60</v>
      </c>
      <c r="BS66" s="6">
        <v>9</v>
      </c>
      <c r="BT66" s="6">
        <v>0</v>
      </c>
      <c r="BU66" s="6">
        <v>51</v>
      </c>
      <c r="BV66" s="6">
        <v>0</v>
      </c>
      <c r="BW66" s="6">
        <v>0</v>
      </c>
      <c r="BX66" s="6">
        <v>138</v>
      </c>
      <c r="BY66" s="6">
        <v>0</v>
      </c>
      <c r="BZ66" s="6">
        <v>69</v>
      </c>
      <c r="CA66" s="6">
        <v>12</v>
      </c>
      <c r="CB66" s="6">
        <v>52</v>
      </c>
      <c r="CC66" s="6">
        <v>0</v>
      </c>
      <c r="CD66" s="6">
        <v>0</v>
      </c>
      <c r="CE66" s="6">
        <v>5</v>
      </c>
      <c r="CF66" s="9">
        <f>SUM(Table1[[#This Row],[65 years and over - With one type of health insurance coverage]:[65 years and over - With two or more types of health insurance coverage &amp; Other coverage combinations]])/Table1[[#This Row],[Total]]</f>
        <v>0.23103850641773629</v>
      </c>
      <c r="CG66" s="9">
        <f>100%-Table1[[#This Row],[65 years and over - Penetration Rate]]</f>
        <v>0.76896149358226373</v>
      </c>
      <c r="CH66" s="6">
        <v>0</v>
      </c>
      <c r="CI66" s="6"/>
    </row>
    <row r="67" spans="1:87" x14ac:dyDescent="0.35">
      <c r="A67" t="s">
        <v>72</v>
      </c>
      <c r="B67">
        <v>66</v>
      </c>
      <c r="C67" s="5">
        <v>1331</v>
      </c>
      <c r="D67" s="5">
        <v>95</v>
      </c>
      <c r="E67" s="5">
        <f>SUM(Table1[[#This Row],[Under 18 years - With one type of health insurance coverage]:[Under 18 years - With two or more types of health insurance coverage &amp; Other coverage combinations]])</f>
        <v>190</v>
      </c>
      <c r="F67" s="6">
        <v>88</v>
      </c>
      <c r="G67" s="6">
        <v>53</v>
      </c>
      <c r="H67" s="6">
        <v>11</v>
      </c>
      <c r="I67" s="6">
        <v>0</v>
      </c>
      <c r="J67" s="6">
        <v>24</v>
      </c>
      <c r="K67" s="6">
        <v>0</v>
      </c>
      <c r="L67" s="6">
        <v>0</v>
      </c>
      <c r="M67" s="6">
        <v>7</v>
      </c>
      <c r="N67" s="6">
        <v>0</v>
      </c>
      <c r="O67" s="6">
        <v>0</v>
      </c>
      <c r="P67" s="6">
        <v>0</v>
      </c>
      <c r="Q67" s="6">
        <v>0</v>
      </c>
      <c r="R67" s="6">
        <v>0</v>
      </c>
      <c r="S67" s="6">
        <v>7</v>
      </c>
      <c r="T67" s="9">
        <f>SUM(Table1[[#This Row],[Under 18 years - With one type of health insurance coverage]:[Under 18 years - With two or more types of health insurance coverage &amp; Other coverage combinations]])/Table1[[#This Row],[Total]]</f>
        <v>0.14274981217129978</v>
      </c>
      <c r="U67" s="9">
        <f>100%-Table1[[#This Row],[Under 18 years - Penetration Rate]]</f>
        <v>0.85725018782870022</v>
      </c>
      <c r="V67" s="6">
        <v>0</v>
      </c>
      <c r="W67" s="6">
        <v>489</v>
      </c>
      <c r="X67" s="6">
        <f>SUM(Table1[[#This Row],[18 to 34 years - With one type of health insurance coverage]:[18 to 34 years - With two or more types of health insurance coverage &amp; Other coverage combinations]])</f>
        <v>662</v>
      </c>
      <c r="Y67" s="9">
        <f>(Table1[[#This Row],[18 to 34 years]] - Table1[[#This Row],[18 to 34 years - No health insurance coverage]]) / Table1[[#This Row],[18 to 34 years]]</f>
        <v>0.67689161554192234</v>
      </c>
      <c r="Z67" s="9">
        <f>IFERROR(Table1[[#This Row],[Coverage Rate ( 18 to 34 years )]], 0)</f>
        <v>0.67689161554192234</v>
      </c>
      <c r="AA67" s="6">
        <v>327</v>
      </c>
      <c r="AB67" s="6">
        <v>252</v>
      </c>
      <c r="AC67" s="6">
        <v>32</v>
      </c>
      <c r="AD67" s="6">
        <v>0</v>
      </c>
      <c r="AE67" s="6">
        <v>43</v>
      </c>
      <c r="AF67" s="6">
        <v>0</v>
      </c>
      <c r="AG67" s="6">
        <v>0</v>
      </c>
      <c r="AH67" s="6">
        <v>4</v>
      </c>
      <c r="AI67" s="6">
        <v>0</v>
      </c>
      <c r="AJ67" s="6">
        <v>0</v>
      </c>
      <c r="AK67" s="6">
        <v>0</v>
      </c>
      <c r="AL67" s="6">
        <v>4</v>
      </c>
      <c r="AM67" s="6">
        <v>0</v>
      </c>
      <c r="AN67" s="6">
        <v>0</v>
      </c>
      <c r="AO67" s="9">
        <f>SUM(Table1[[#This Row],[18 to 34 years - With one type of health insurance coverage]:[18 to 34 years - With two or more types of health insurance coverage &amp; Other coverage combinations]])/Table1[[#This Row],[Total]]</f>
        <v>0.49737039819684448</v>
      </c>
      <c r="AP67" s="9">
        <f>100%-Table1[[#This Row],[18 to 34 years - Penetration rate]]</f>
        <v>0.50262960180315552</v>
      </c>
      <c r="AQ67" s="6">
        <v>158</v>
      </c>
      <c r="AR67" s="6">
        <v>544</v>
      </c>
      <c r="AS67" s="6">
        <f>SUM(Table1[[#This Row],[35 to 64 years - With one type of health insurance coverage]:[35 to 64 years - With two or more types of health insurance coverage &amp; Other coverage combinations]])</f>
        <v>930</v>
      </c>
      <c r="AT67" s="9">
        <f>(Table1[[#This Row],[35 to 64 years]]-Table1[[#This Row],[35 to 64 years - No health insurance coverage]])/Table1[[#This Row],[35 to 64 years]]</f>
        <v>0.85477941176470584</v>
      </c>
      <c r="AU67" s="9">
        <f>IFERROR(Table1[[#This Row],[Coverage Rate ( 35 to 64 years )]], 0)</f>
        <v>0.85477941176470584</v>
      </c>
      <c r="AV67" s="6">
        <v>413</v>
      </c>
      <c r="AW67" s="6">
        <v>287</v>
      </c>
      <c r="AX67" s="6">
        <v>86</v>
      </c>
      <c r="AY67" s="6">
        <v>4</v>
      </c>
      <c r="AZ67" s="6">
        <v>36</v>
      </c>
      <c r="BA67" s="6">
        <v>0</v>
      </c>
      <c r="BB67" s="6">
        <v>0</v>
      </c>
      <c r="BC67" s="6">
        <v>52</v>
      </c>
      <c r="BD67" s="6">
        <v>28</v>
      </c>
      <c r="BE67" s="6">
        <v>0</v>
      </c>
      <c r="BF67" s="6">
        <v>6</v>
      </c>
      <c r="BG67" s="6">
        <v>12</v>
      </c>
      <c r="BH67" s="6">
        <v>0</v>
      </c>
      <c r="BI67" s="6">
        <v>0</v>
      </c>
      <c r="BJ67" s="6">
        <v>6</v>
      </c>
      <c r="BK67" s="9">
        <f>SUM(Table1[[#This Row],[35 to 64 years - With one type of health insurance coverage]:[35 to 64 years - With two or more types of health insurance coverage &amp; Other coverage combinations]])/Table1[[#This Row],[Total]]</f>
        <v>0.69872276483846729</v>
      </c>
      <c r="BL67" s="9">
        <f>100%-Table1[[#This Row],[35 to 64 years - Penetration Rate]]</f>
        <v>0.30127723516153271</v>
      </c>
      <c r="BM67" s="6">
        <v>79</v>
      </c>
      <c r="BN67" s="6">
        <v>203</v>
      </c>
      <c r="BO67" s="6">
        <f>SUM(Table1[[#This Row],[65 years and over - With one type of health insurance coverage]:[65 years and over - With two or more types of health insurance coverage &amp; Other coverage combinations]])</f>
        <v>406</v>
      </c>
      <c r="BP67" s="9">
        <f>(Table1[[#This Row],[65 years and over]]-Table1[[#This Row],[65 years and over - No health insurance coverage]])/Table1[[#This Row],[65 years and over]]</f>
        <v>1</v>
      </c>
      <c r="BQ67" s="9">
        <f>IFERROR(Table1[[#This Row],[Coverage Rate ( 65 years and over )]], 0)</f>
        <v>1</v>
      </c>
      <c r="BR67" s="6">
        <v>53</v>
      </c>
      <c r="BS67" s="6">
        <v>0</v>
      </c>
      <c r="BT67" s="6">
        <v>20</v>
      </c>
      <c r="BU67" s="6">
        <v>33</v>
      </c>
      <c r="BV67" s="6">
        <v>0</v>
      </c>
      <c r="BW67" s="6">
        <v>0</v>
      </c>
      <c r="BX67" s="6">
        <v>150</v>
      </c>
      <c r="BY67" s="6">
        <v>0</v>
      </c>
      <c r="BZ67" s="6">
        <v>29</v>
      </c>
      <c r="CA67" s="6">
        <v>62</v>
      </c>
      <c r="CB67" s="6">
        <v>27</v>
      </c>
      <c r="CC67" s="6">
        <v>0</v>
      </c>
      <c r="CD67" s="6">
        <v>5</v>
      </c>
      <c r="CE67" s="6">
        <v>27</v>
      </c>
      <c r="CF67" s="9">
        <f>SUM(Table1[[#This Row],[65 years and over - With one type of health insurance coverage]:[65 years and over - With two or more types of health insurance coverage &amp; Other coverage combinations]])/Table1[[#This Row],[Total]]</f>
        <v>0.30503380916604056</v>
      </c>
      <c r="CG67" s="9">
        <f>100%-Table1[[#This Row],[65 years and over - Penetration Rate]]</f>
        <v>0.6949661908339595</v>
      </c>
      <c r="CH67" s="6">
        <v>0</v>
      </c>
      <c r="CI67" s="6"/>
    </row>
    <row r="68" spans="1:87" x14ac:dyDescent="0.35">
      <c r="A68" t="s">
        <v>73</v>
      </c>
      <c r="B68">
        <v>67</v>
      </c>
      <c r="C68" s="5">
        <v>1033</v>
      </c>
      <c r="D68" s="5">
        <v>213</v>
      </c>
      <c r="E68" s="5">
        <f>SUM(Table1[[#This Row],[Under 18 years - With one type of health insurance coverage]:[Under 18 years - With two or more types of health insurance coverage &amp; Other coverage combinations]])</f>
        <v>426</v>
      </c>
      <c r="F68" s="6">
        <v>213</v>
      </c>
      <c r="G68" s="6">
        <v>184</v>
      </c>
      <c r="H68" s="6">
        <v>11</v>
      </c>
      <c r="I68" s="6">
        <v>0</v>
      </c>
      <c r="J68" s="6">
        <v>18</v>
      </c>
      <c r="K68" s="6">
        <v>0</v>
      </c>
      <c r="L68" s="6">
        <v>0</v>
      </c>
      <c r="M68" s="6">
        <v>0</v>
      </c>
      <c r="N68" s="6">
        <v>0</v>
      </c>
      <c r="O68" s="6">
        <v>0</v>
      </c>
      <c r="P68" s="6">
        <v>0</v>
      </c>
      <c r="Q68" s="6">
        <v>0</v>
      </c>
      <c r="R68" s="6">
        <v>0</v>
      </c>
      <c r="S68" s="6">
        <v>0</v>
      </c>
      <c r="T68" s="9">
        <f>SUM(Table1[[#This Row],[Under 18 years - With one type of health insurance coverage]:[Under 18 years - With two or more types of health insurance coverage &amp; Other coverage combinations]])/Table1[[#This Row],[Total]]</f>
        <v>0.41239109390125844</v>
      </c>
      <c r="U68" s="9">
        <f>100%-Table1[[#This Row],[Under 18 years - Penetration Rate]]</f>
        <v>0.5876089060987415</v>
      </c>
      <c r="V68" s="6">
        <v>0</v>
      </c>
      <c r="W68" s="6">
        <v>243</v>
      </c>
      <c r="X68" s="6">
        <f>SUM(Table1[[#This Row],[18 to 34 years - With one type of health insurance coverage]:[18 to 34 years - With two or more types of health insurance coverage &amp; Other coverage combinations]])</f>
        <v>486</v>
      </c>
      <c r="Y68" s="9">
        <f>(Table1[[#This Row],[18 to 34 years]] - Table1[[#This Row],[18 to 34 years - No health insurance coverage]]) / Table1[[#This Row],[18 to 34 years]]</f>
        <v>1</v>
      </c>
      <c r="Z68" s="9">
        <f>IFERROR(Table1[[#This Row],[Coverage Rate ( 18 to 34 years )]], 0)</f>
        <v>1</v>
      </c>
      <c r="AA68" s="6">
        <v>243</v>
      </c>
      <c r="AB68" s="6">
        <v>183</v>
      </c>
      <c r="AC68" s="6">
        <v>34</v>
      </c>
      <c r="AD68" s="6">
        <v>0</v>
      </c>
      <c r="AE68" s="6">
        <v>26</v>
      </c>
      <c r="AF68" s="6">
        <v>0</v>
      </c>
      <c r="AG68" s="6">
        <v>0</v>
      </c>
      <c r="AH68" s="6">
        <v>0</v>
      </c>
      <c r="AI68" s="6">
        <v>0</v>
      </c>
      <c r="AJ68" s="6">
        <v>0</v>
      </c>
      <c r="AK68" s="6">
        <v>0</v>
      </c>
      <c r="AL68" s="6">
        <v>0</v>
      </c>
      <c r="AM68" s="6">
        <v>0</v>
      </c>
      <c r="AN68" s="6">
        <v>0</v>
      </c>
      <c r="AO68" s="9">
        <f>SUM(Table1[[#This Row],[18 to 34 years - With one type of health insurance coverage]:[18 to 34 years - With two or more types of health insurance coverage &amp; Other coverage combinations]])/Table1[[#This Row],[Total]]</f>
        <v>0.47047434656340753</v>
      </c>
      <c r="AP68" s="9">
        <f>100%-Table1[[#This Row],[18 to 34 years - Penetration rate]]</f>
        <v>0.52952565343659241</v>
      </c>
      <c r="AQ68" s="6">
        <v>0</v>
      </c>
      <c r="AR68" s="6">
        <v>379</v>
      </c>
      <c r="AS68" s="6">
        <f>SUM(Table1[[#This Row],[35 to 64 years - With one type of health insurance coverage]:[35 to 64 years - With two or more types of health insurance coverage &amp; Other coverage combinations]])</f>
        <v>714</v>
      </c>
      <c r="AT68" s="9">
        <f>(Table1[[#This Row],[35 to 64 years]]-Table1[[#This Row],[35 to 64 years - No health insurance coverage]])/Table1[[#This Row],[35 to 64 years]]</f>
        <v>0.94195250659630603</v>
      </c>
      <c r="AU68" s="9">
        <f>IFERROR(Table1[[#This Row],[Coverage Rate ( 35 to 64 years )]], 0)</f>
        <v>0.94195250659630603</v>
      </c>
      <c r="AV68" s="6">
        <v>341</v>
      </c>
      <c r="AW68" s="6">
        <v>271</v>
      </c>
      <c r="AX68" s="6">
        <v>49</v>
      </c>
      <c r="AY68" s="6">
        <v>7</v>
      </c>
      <c r="AZ68" s="6">
        <v>14</v>
      </c>
      <c r="BA68" s="6">
        <v>0</v>
      </c>
      <c r="BB68" s="6">
        <v>0</v>
      </c>
      <c r="BC68" s="6">
        <v>16</v>
      </c>
      <c r="BD68" s="6">
        <v>7</v>
      </c>
      <c r="BE68" s="6">
        <v>0</v>
      </c>
      <c r="BF68" s="6">
        <v>0</v>
      </c>
      <c r="BG68" s="6">
        <v>0</v>
      </c>
      <c r="BH68" s="6">
        <v>0</v>
      </c>
      <c r="BI68" s="6">
        <v>0</v>
      </c>
      <c r="BJ68" s="6">
        <v>9</v>
      </c>
      <c r="BK68" s="9">
        <f>SUM(Table1[[#This Row],[35 to 64 years - With one type of health insurance coverage]:[35 to 64 years - With two or more types of health insurance coverage &amp; Other coverage combinations]])/Table1[[#This Row],[Total]]</f>
        <v>0.69119070667957405</v>
      </c>
      <c r="BL68" s="9">
        <f>100%-Table1[[#This Row],[35 to 64 years - Penetration Rate]]</f>
        <v>0.30880929332042595</v>
      </c>
      <c r="BM68" s="6">
        <v>22</v>
      </c>
      <c r="BN68" s="6">
        <v>198</v>
      </c>
      <c r="BO68" s="6">
        <f>SUM(Table1[[#This Row],[65 years and over - With one type of health insurance coverage]:[65 years and over - With two or more types of health insurance coverage &amp; Other coverage combinations]])</f>
        <v>396</v>
      </c>
      <c r="BP68" s="9">
        <f>(Table1[[#This Row],[65 years and over]]-Table1[[#This Row],[65 years and over - No health insurance coverage]])/Table1[[#This Row],[65 years and over]]</f>
        <v>1</v>
      </c>
      <c r="BQ68" s="9">
        <f>IFERROR(Table1[[#This Row],[Coverage Rate ( 65 years and over )]], 0)</f>
        <v>1</v>
      </c>
      <c r="BR68" s="6">
        <v>54</v>
      </c>
      <c r="BS68" s="6">
        <v>4</v>
      </c>
      <c r="BT68" s="6">
        <v>0</v>
      </c>
      <c r="BU68" s="6">
        <v>50</v>
      </c>
      <c r="BV68" s="6">
        <v>0</v>
      </c>
      <c r="BW68" s="6">
        <v>0</v>
      </c>
      <c r="BX68" s="6">
        <v>144</v>
      </c>
      <c r="BY68" s="6">
        <v>0</v>
      </c>
      <c r="BZ68" s="6">
        <v>34</v>
      </c>
      <c r="CA68" s="6">
        <v>84</v>
      </c>
      <c r="CB68" s="6">
        <v>0</v>
      </c>
      <c r="CC68" s="6">
        <v>0</v>
      </c>
      <c r="CD68" s="6">
        <v>5</v>
      </c>
      <c r="CE68" s="6">
        <v>21</v>
      </c>
      <c r="CF68" s="9">
        <f>SUM(Table1[[#This Row],[65 years and over - With one type of health insurance coverage]:[65 years and over - With two or more types of health insurance coverage &amp; Other coverage combinations]])/Table1[[#This Row],[Total]]</f>
        <v>0.38334946757018395</v>
      </c>
      <c r="CG68" s="9">
        <f>100%-Table1[[#This Row],[65 years and over - Penetration Rate]]</f>
        <v>0.61665053242981605</v>
      </c>
      <c r="CH68" s="6">
        <v>0</v>
      </c>
      <c r="CI68" s="6"/>
    </row>
    <row r="69" spans="1:87" x14ac:dyDescent="0.35">
      <c r="A69" t="s">
        <v>74</v>
      </c>
      <c r="B69">
        <v>68</v>
      </c>
      <c r="C69" s="5">
        <v>314</v>
      </c>
      <c r="D69" s="5">
        <v>37</v>
      </c>
      <c r="E69" s="5">
        <f>SUM(Table1[[#This Row],[Under 18 years - With one type of health insurance coverage]:[Under 18 years - With two or more types of health insurance coverage &amp; Other coverage combinations]])</f>
        <v>74</v>
      </c>
      <c r="F69" s="6">
        <v>37</v>
      </c>
      <c r="G69" s="6">
        <v>9</v>
      </c>
      <c r="H69" s="6">
        <v>0</v>
      </c>
      <c r="I69" s="6">
        <v>0</v>
      </c>
      <c r="J69" s="6">
        <v>0</v>
      </c>
      <c r="K69" s="6">
        <v>28</v>
      </c>
      <c r="L69" s="6">
        <v>0</v>
      </c>
      <c r="M69" s="6">
        <v>0</v>
      </c>
      <c r="N69" s="6">
        <v>0</v>
      </c>
      <c r="O69" s="6">
        <v>0</v>
      </c>
      <c r="P69" s="6">
        <v>0</v>
      </c>
      <c r="Q69" s="6">
        <v>0</v>
      </c>
      <c r="R69" s="6">
        <v>0</v>
      </c>
      <c r="S69" s="6">
        <v>0</v>
      </c>
      <c r="T69" s="9">
        <f>SUM(Table1[[#This Row],[Under 18 years - With one type of health insurance coverage]:[Under 18 years - With two or more types of health insurance coverage &amp; Other coverage combinations]])/Table1[[#This Row],[Total]]</f>
        <v>0.2356687898089172</v>
      </c>
      <c r="U69" s="9">
        <f>100%-Table1[[#This Row],[Under 18 years - Penetration Rate]]</f>
        <v>0.76433121019108285</v>
      </c>
      <c r="V69" s="6">
        <v>0</v>
      </c>
      <c r="W69" s="6">
        <v>66</v>
      </c>
      <c r="X69" s="6">
        <f>SUM(Table1[[#This Row],[18 to 34 years - With one type of health insurance coverage]:[18 to 34 years - With two or more types of health insurance coverage &amp; Other coverage combinations]])</f>
        <v>132</v>
      </c>
      <c r="Y69" s="9">
        <f>(Table1[[#This Row],[18 to 34 years]] - Table1[[#This Row],[18 to 34 years - No health insurance coverage]]) / Table1[[#This Row],[18 to 34 years]]</f>
        <v>1</v>
      </c>
      <c r="Z69" s="9">
        <f>IFERROR(Table1[[#This Row],[Coverage Rate ( 18 to 34 years )]], 0)</f>
        <v>1</v>
      </c>
      <c r="AA69" s="6">
        <v>66</v>
      </c>
      <c r="AB69" s="6">
        <v>66</v>
      </c>
      <c r="AC69" s="6">
        <v>0</v>
      </c>
      <c r="AD69" s="6">
        <v>0</v>
      </c>
      <c r="AE69" s="6">
        <v>0</v>
      </c>
      <c r="AF69" s="6">
        <v>0</v>
      </c>
      <c r="AG69" s="6">
        <v>0</v>
      </c>
      <c r="AH69" s="6">
        <v>0</v>
      </c>
      <c r="AI69" s="6">
        <v>0</v>
      </c>
      <c r="AJ69" s="6">
        <v>0</v>
      </c>
      <c r="AK69" s="6">
        <v>0</v>
      </c>
      <c r="AL69" s="6">
        <v>0</v>
      </c>
      <c r="AM69" s="6">
        <v>0</v>
      </c>
      <c r="AN69" s="6">
        <v>0</v>
      </c>
      <c r="AO69" s="9">
        <f>SUM(Table1[[#This Row],[18 to 34 years - With one type of health insurance coverage]:[18 to 34 years - With two or more types of health insurance coverage &amp; Other coverage combinations]])/Table1[[#This Row],[Total]]</f>
        <v>0.42038216560509556</v>
      </c>
      <c r="AP69" s="9">
        <f>100%-Table1[[#This Row],[18 to 34 years - Penetration rate]]</f>
        <v>0.57961783439490444</v>
      </c>
      <c r="AQ69" s="6">
        <v>0</v>
      </c>
      <c r="AR69" s="6">
        <v>135</v>
      </c>
      <c r="AS69" s="6">
        <f>SUM(Table1[[#This Row],[35 to 64 years - With one type of health insurance coverage]:[35 to 64 years - With two or more types of health insurance coverage &amp; Other coverage combinations]])</f>
        <v>242</v>
      </c>
      <c r="AT69" s="9">
        <f>(Table1[[#This Row],[35 to 64 years]]-Table1[[#This Row],[35 to 64 years - No health insurance coverage]])/Table1[[#This Row],[35 to 64 years]]</f>
        <v>0.89629629629629626</v>
      </c>
      <c r="AU69" s="9">
        <f>IFERROR(Table1[[#This Row],[Coverage Rate ( 35 to 64 years )]], 0)</f>
        <v>0.89629629629629626</v>
      </c>
      <c r="AV69" s="6">
        <v>115</v>
      </c>
      <c r="AW69" s="6">
        <v>80</v>
      </c>
      <c r="AX69" s="6">
        <v>32</v>
      </c>
      <c r="AY69" s="6">
        <v>3</v>
      </c>
      <c r="AZ69" s="6">
        <v>0</v>
      </c>
      <c r="BA69" s="6">
        <v>0</v>
      </c>
      <c r="BB69" s="6">
        <v>0</v>
      </c>
      <c r="BC69" s="6">
        <v>6</v>
      </c>
      <c r="BD69" s="6">
        <v>0</v>
      </c>
      <c r="BE69" s="6">
        <v>0</v>
      </c>
      <c r="BF69" s="6">
        <v>0</v>
      </c>
      <c r="BG69" s="6">
        <v>0</v>
      </c>
      <c r="BH69" s="6">
        <v>0</v>
      </c>
      <c r="BI69" s="6">
        <v>0</v>
      </c>
      <c r="BJ69" s="6">
        <v>6</v>
      </c>
      <c r="BK69" s="9">
        <f>SUM(Table1[[#This Row],[35 to 64 years - With one type of health insurance coverage]:[35 to 64 years - With two or more types of health insurance coverage &amp; Other coverage combinations]])/Table1[[#This Row],[Total]]</f>
        <v>0.77070063694267521</v>
      </c>
      <c r="BL69" s="9">
        <f>100%-Table1[[#This Row],[35 to 64 years - Penetration Rate]]</f>
        <v>0.22929936305732479</v>
      </c>
      <c r="BM69" s="6">
        <v>14</v>
      </c>
      <c r="BN69" s="6">
        <v>76</v>
      </c>
      <c r="BO69" s="6">
        <f>SUM(Table1[[#This Row],[65 years and over - With one type of health insurance coverage]:[65 years and over - With two or more types of health insurance coverage &amp; Other coverage combinations]])</f>
        <v>152</v>
      </c>
      <c r="BP69" s="9">
        <f>(Table1[[#This Row],[65 years and over]]-Table1[[#This Row],[65 years and over - No health insurance coverage]])/Table1[[#This Row],[65 years and over]]</f>
        <v>1</v>
      </c>
      <c r="BQ69" s="9">
        <f>IFERROR(Table1[[#This Row],[Coverage Rate ( 65 years and over )]], 0)</f>
        <v>1</v>
      </c>
      <c r="BR69" s="6">
        <v>7</v>
      </c>
      <c r="BS69" s="6">
        <v>0</v>
      </c>
      <c r="BT69" s="6">
        <v>0</v>
      </c>
      <c r="BU69" s="6">
        <v>7</v>
      </c>
      <c r="BV69" s="6">
        <v>0</v>
      </c>
      <c r="BW69" s="6">
        <v>0</v>
      </c>
      <c r="BX69" s="6">
        <v>69</v>
      </c>
      <c r="BY69" s="6">
        <v>0</v>
      </c>
      <c r="BZ69" s="6">
        <v>25</v>
      </c>
      <c r="CA69" s="6">
        <v>18</v>
      </c>
      <c r="CB69" s="6">
        <v>0</v>
      </c>
      <c r="CC69" s="6">
        <v>0</v>
      </c>
      <c r="CD69" s="6">
        <v>5</v>
      </c>
      <c r="CE69" s="6">
        <v>21</v>
      </c>
      <c r="CF69" s="9">
        <f>SUM(Table1[[#This Row],[65 years and over - With one type of health insurance coverage]:[65 years and over - With two or more types of health insurance coverage &amp; Other coverage combinations]])/Table1[[#This Row],[Total]]</f>
        <v>0.48407643312101911</v>
      </c>
      <c r="CG69" s="9">
        <f>100%-Table1[[#This Row],[65 years and over - Penetration Rate]]</f>
        <v>0.51592356687898089</v>
      </c>
      <c r="CH69" s="6">
        <v>0</v>
      </c>
      <c r="CI69" s="6"/>
    </row>
    <row r="70" spans="1:87" x14ac:dyDescent="0.35">
      <c r="A70" t="s">
        <v>75</v>
      </c>
      <c r="B70">
        <v>69</v>
      </c>
      <c r="C70" s="5">
        <v>13194</v>
      </c>
      <c r="D70" s="5">
        <v>840</v>
      </c>
      <c r="E70" s="5">
        <f>SUM(Table1[[#This Row],[Under 18 years - With one type of health insurance coverage]:[Under 18 years - With two or more types of health insurance coverage &amp; Other coverage combinations]])</f>
        <v>1680</v>
      </c>
      <c r="F70" s="6">
        <v>744</v>
      </c>
      <c r="G70" s="6">
        <v>578</v>
      </c>
      <c r="H70" s="6">
        <v>101</v>
      </c>
      <c r="I70" s="6">
        <v>0</v>
      </c>
      <c r="J70" s="6">
        <v>65</v>
      </c>
      <c r="K70" s="6">
        <v>0</v>
      </c>
      <c r="L70" s="6">
        <v>0</v>
      </c>
      <c r="M70" s="6">
        <v>96</v>
      </c>
      <c r="N70" s="6">
        <v>75</v>
      </c>
      <c r="O70" s="6">
        <v>0</v>
      </c>
      <c r="P70" s="6">
        <v>0</v>
      </c>
      <c r="Q70" s="6">
        <v>21</v>
      </c>
      <c r="R70" s="6">
        <v>0</v>
      </c>
      <c r="S70" s="6">
        <v>0</v>
      </c>
      <c r="T70" s="9">
        <f>SUM(Table1[[#This Row],[Under 18 years - With one type of health insurance coverage]:[Under 18 years - With two or more types of health insurance coverage &amp; Other coverage combinations]])/Table1[[#This Row],[Total]]</f>
        <v>0.12733060482037289</v>
      </c>
      <c r="U70" s="9">
        <f>100%-Table1[[#This Row],[Under 18 years - Penetration Rate]]</f>
        <v>0.87266939517962716</v>
      </c>
      <c r="V70" s="6">
        <v>0</v>
      </c>
      <c r="W70" s="6">
        <v>8107</v>
      </c>
      <c r="X70" s="6">
        <f>SUM(Table1[[#This Row],[18 to 34 years - With one type of health insurance coverage]:[18 to 34 years - With two or more types of health insurance coverage &amp; Other coverage combinations]])</f>
        <v>15278</v>
      </c>
      <c r="Y70" s="9">
        <f>(Table1[[#This Row],[18 to 34 years]] - Table1[[#This Row],[18 to 34 years - No health insurance coverage]]) / Table1[[#This Row],[18 to 34 years]]</f>
        <v>0.94227211052177129</v>
      </c>
      <c r="Z70" s="9">
        <f>IFERROR(Table1[[#This Row],[Coverage Rate ( 18 to 34 years )]], 0)</f>
        <v>0.94227211052177129</v>
      </c>
      <c r="AA70" s="6">
        <v>7214</v>
      </c>
      <c r="AB70" s="6">
        <v>5539</v>
      </c>
      <c r="AC70" s="6">
        <v>1607</v>
      </c>
      <c r="AD70" s="6">
        <v>0</v>
      </c>
      <c r="AE70" s="6">
        <v>68</v>
      </c>
      <c r="AF70" s="6">
        <v>0</v>
      </c>
      <c r="AG70" s="6">
        <v>0</v>
      </c>
      <c r="AH70" s="6">
        <v>425</v>
      </c>
      <c r="AI70" s="6">
        <v>349</v>
      </c>
      <c r="AJ70" s="6">
        <v>0</v>
      </c>
      <c r="AK70" s="6">
        <v>1</v>
      </c>
      <c r="AL70" s="6">
        <v>42</v>
      </c>
      <c r="AM70" s="6">
        <v>0</v>
      </c>
      <c r="AN70" s="6">
        <v>33</v>
      </c>
      <c r="AO70" s="9">
        <f>SUM(Table1[[#This Row],[18 to 34 years - With one type of health insurance coverage]:[18 to 34 years - With two or more types of health insurance coverage &amp; Other coverage combinations]])/Table1[[#This Row],[Total]]</f>
        <v>1.1579505835986055</v>
      </c>
      <c r="AP70" s="9">
        <f>100%-Table1[[#This Row],[18 to 34 years - Penetration rate]]</f>
        <v>-0.15795058359860548</v>
      </c>
      <c r="AQ70" s="6">
        <v>468</v>
      </c>
      <c r="AR70" s="6">
        <v>3008</v>
      </c>
      <c r="AS70" s="6">
        <f>SUM(Table1[[#This Row],[35 to 64 years - With one type of health insurance coverage]:[35 to 64 years - With two or more types of health insurance coverage &amp; Other coverage combinations]])</f>
        <v>5734</v>
      </c>
      <c r="AT70" s="9">
        <f>(Table1[[#This Row],[35 to 64 years]]-Table1[[#This Row],[35 to 64 years - No health insurance coverage]])/Table1[[#This Row],[35 to 64 years]]</f>
        <v>0.953125</v>
      </c>
      <c r="AU70" s="9">
        <f>IFERROR(Table1[[#This Row],[Coverage Rate ( 35 to 64 years )]], 0)</f>
        <v>0.953125</v>
      </c>
      <c r="AV70" s="6">
        <v>2561</v>
      </c>
      <c r="AW70" s="6">
        <v>2069</v>
      </c>
      <c r="AX70" s="6">
        <v>394</v>
      </c>
      <c r="AY70" s="6">
        <v>11</v>
      </c>
      <c r="AZ70" s="6">
        <v>79</v>
      </c>
      <c r="BA70" s="6">
        <v>0</v>
      </c>
      <c r="BB70" s="6">
        <v>8</v>
      </c>
      <c r="BC70" s="6">
        <v>306</v>
      </c>
      <c r="BD70" s="6">
        <v>157</v>
      </c>
      <c r="BE70" s="6">
        <v>12</v>
      </c>
      <c r="BF70" s="6">
        <v>11</v>
      </c>
      <c r="BG70" s="6">
        <v>31</v>
      </c>
      <c r="BH70" s="6">
        <v>11</v>
      </c>
      <c r="BI70" s="6">
        <v>0</v>
      </c>
      <c r="BJ70" s="6">
        <v>84</v>
      </c>
      <c r="BK70" s="9">
        <f>SUM(Table1[[#This Row],[35 to 64 years - With one type of health insurance coverage]:[35 to 64 years - With two or more types of health insurance coverage &amp; Other coverage combinations]])/Table1[[#This Row],[Total]]</f>
        <v>0.43459148097620132</v>
      </c>
      <c r="BL70" s="9">
        <f>100%-Table1[[#This Row],[35 to 64 years - Penetration Rate]]</f>
        <v>0.56540851902379874</v>
      </c>
      <c r="BM70" s="6">
        <v>141</v>
      </c>
      <c r="BN70" s="6">
        <v>1239</v>
      </c>
      <c r="BO70" s="6">
        <f>SUM(Table1[[#This Row],[65 years and over - With one type of health insurance coverage]:[65 years and over - With two or more types of health insurance coverage &amp; Other coverage combinations]])</f>
        <v>2478</v>
      </c>
      <c r="BP70" s="9">
        <f>(Table1[[#This Row],[65 years and over]]-Table1[[#This Row],[65 years and over - No health insurance coverage]])/Table1[[#This Row],[65 years and over]]</f>
        <v>1</v>
      </c>
      <c r="BQ70" s="9">
        <f>IFERROR(Table1[[#This Row],[Coverage Rate ( 65 years and over )]], 0)</f>
        <v>1</v>
      </c>
      <c r="BR70" s="6">
        <v>373</v>
      </c>
      <c r="BS70" s="6">
        <v>71</v>
      </c>
      <c r="BT70" s="6">
        <v>12</v>
      </c>
      <c r="BU70" s="6">
        <v>290</v>
      </c>
      <c r="BV70" s="6">
        <v>0</v>
      </c>
      <c r="BW70" s="6">
        <v>0</v>
      </c>
      <c r="BX70" s="6">
        <v>866</v>
      </c>
      <c r="BY70" s="6">
        <v>0</v>
      </c>
      <c r="BZ70" s="6">
        <v>273</v>
      </c>
      <c r="CA70" s="6">
        <v>333</v>
      </c>
      <c r="CB70" s="6">
        <v>30</v>
      </c>
      <c r="CC70" s="6">
        <v>0</v>
      </c>
      <c r="CD70" s="6">
        <v>8</v>
      </c>
      <c r="CE70" s="6">
        <v>222</v>
      </c>
      <c r="CF70" s="9">
        <f>SUM(Table1[[#This Row],[65 years and over - With one type of health insurance coverage]:[65 years and over - With two or more types of health insurance coverage &amp; Other coverage combinations]])/Table1[[#This Row],[Total]]</f>
        <v>0.18781264211005003</v>
      </c>
      <c r="CG70" s="9">
        <f>100%-Table1[[#This Row],[65 years and over - Penetration Rate]]</f>
        <v>0.81218735788995</v>
      </c>
      <c r="CH70" s="6">
        <v>0</v>
      </c>
      <c r="CI70" s="6"/>
    </row>
    <row r="71" spans="1:87" x14ac:dyDescent="0.35">
      <c r="A71" t="s">
        <v>76</v>
      </c>
      <c r="B71">
        <v>70</v>
      </c>
      <c r="C71" s="5">
        <v>5684</v>
      </c>
      <c r="D71" s="5">
        <v>1594</v>
      </c>
      <c r="E71" s="5">
        <f>SUM(Table1[[#This Row],[Under 18 years - With one type of health insurance coverage]:[Under 18 years - With two or more types of health insurance coverage &amp; Other coverage combinations]])</f>
        <v>3140</v>
      </c>
      <c r="F71" s="6">
        <v>1502</v>
      </c>
      <c r="G71" s="6">
        <v>472</v>
      </c>
      <c r="H71" s="6">
        <v>39</v>
      </c>
      <c r="I71" s="6">
        <v>0</v>
      </c>
      <c r="J71" s="6">
        <v>991</v>
      </c>
      <c r="K71" s="6">
        <v>0</v>
      </c>
      <c r="L71" s="6">
        <v>0</v>
      </c>
      <c r="M71" s="6">
        <v>68</v>
      </c>
      <c r="N71" s="6">
        <v>0</v>
      </c>
      <c r="O71" s="6">
        <v>0</v>
      </c>
      <c r="P71" s="6">
        <v>14</v>
      </c>
      <c r="Q71" s="6">
        <v>0</v>
      </c>
      <c r="R71" s="6">
        <v>0</v>
      </c>
      <c r="S71" s="6">
        <v>54</v>
      </c>
      <c r="T71" s="9">
        <f>SUM(Table1[[#This Row],[Under 18 years - With one type of health insurance coverage]:[Under 18 years - With two or more types of health insurance coverage &amp; Other coverage combinations]])/Table1[[#This Row],[Total]]</f>
        <v>0.5524278676988037</v>
      </c>
      <c r="U71" s="9">
        <f>100%-Table1[[#This Row],[Under 18 years - Penetration Rate]]</f>
        <v>0.4475721323011963</v>
      </c>
      <c r="V71" s="6">
        <v>24</v>
      </c>
      <c r="W71" s="6">
        <v>1244</v>
      </c>
      <c r="X71" s="6">
        <f>SUM(Table1[[#This Row],[18 to 34 years - With one type of health insurance coverage]:[18 to 34 years - With two or more types of health insurance coverage &amp; Other coverage combinations]])</f>
        <v>1978</v>
      </c>
      <c r="Y71" s="9">
        <f>(Table1[[#This Row],[18 to 34 years]] - Table1[[#This Row],[18 to 34 years - No health insurance coverage]]) / Table1[[#This Row],[18 to 34 years]]</f>
        <v>0.795016077170418</v>
      </c>
      <c r="Z71" s="9">
        <f>IFERROR(Table1[[#This Row],[Coverage Rate ( 18 to 34 years )]], 0)</f>
        <v>0.795016077170418</v>
      </c>
      <c r="AA71" s="6">
        <v>938</v>
      </c>
      <c r="AB71" s="6">
        <v>423</v>
      </c>
      <c r="AC71" s="6">
        <v>60</v>
      </c>
      <c r="AD71" s="6">
        <v>0</v>
      </c>
      <c r="AE71" s="6">
        <v>455</v>
      </c>
      <c r="AF71" s="6">
        <v>0</v>
      </c>
      <c r="AG71" s="6">
        <v>0</v>
      </c>
      <c r="AH71" s="6">
        <v>51</v>
      </c>
      <c r="AI71" s="6">
        <v>18</v>
      </c>
      <c r="AJ71" s="6">
        <v>0</v>
      </c>
      <c r="AK71" s="6">
        <v>14</v>
      </c>
      <c r="AL71" s="6">
        <v>0</v>
      </c>
      <c r="AM71" s="6">
        <v>0</v>
      </c>
      <c r="AN71" s="6">
        <v>19</v>
      </c>
      <c r="AO71" s="9">
        <f>SUM(Table1[[#This Row],[18 to 34 years - With one type of health insurance coverage]:[18 to 34 years - With two or more types of health insurance coverage &amp; Other coverage combinations]])/Table1[[#This Row],[Total]]</f>
        <v>0.34799437016185786</v>
      </c>
      <c r="AP71" s="9">
        <f>100%-Table1[[#This Row],[18 to 34 years - Penetration rate]]</f>
        <v>0.65200562983814214</v>
      </c>
      <c r="AQ71" s="6">
        <v>255</v>
      </c>
      <c r="AR71" s="6">
        <v>2242</v>
      </c>
      <c r="AS71" s="6">
        <f>SUM(Table1[[#This Row],[35 to 64 years - With one type of health insurance coverage]:[35 to 64 years - With two or more types of health insurance coverage &amp; Other coverage combinations]])</f>
        <v>3988</v>
      </c>
      <c r="AT71" s="9">
        <f>(Table1[[#This Row],[35 to 64 years]]-Table1[[#This Row],[35 to 64 years - No health insurance coverage]])/Table1[[#This Row],[35 to 64 years]]</f>
        <v>0.88938447814451382</v>
      </c>
      <c r="AU71" s="9">
        <f>IFERROR(Table1[[#This Row],[Coverage Rate ( 35 to 64 years )]], 0)</f>
        <v>0.88938447814451382</v>
      </c>
      <c r="AV71" s="6">
        <v>1767</v>
      </c>
      <c r="AW71" s="6">
        <v>1298</v>
      </c>
      <c r="AX71" s="6">
        <v>96</v>
      </c>
      <c r="AY71" s="6">
        <v>29</v>
      </c>
      <c r="AZ71" s="6">
        <v>304</v>
      </c>
      <c r="BA71" s="6">
        <v>17</v>
      </c>
      <c r="BB71" s="6">
        <v>23</v>
      </c>
      <c r="BC71" s="6">
        <v>227</v>
      </c>
      <c r="BD71" s="6">
        <v>9</v>
      </c>
      <c r="BE71" s="6">
        <v>0</v>
      </c>
      <c r="BF71" s="6">
        <v>16</v>
      </c>
      <c r="BG71" s="6">
        <v>59</v>
      </c>
      <c r="BH71" s="6">
        <v>0</v>
      </c>
      <c r="BI71" s="6">
        <v>11</v>
      </c>
      <c r="BJ71" s="6">
        <v>132</v>
      </c>
      <c r="BK71" s="9">
        <f>SUM(Table1[[#This Row],[35 to 64 years - With one type of health insurance coverage]:[35 to 64 years - With two or more types of health insurance coverage &amp; Other coverage combinations]])/Table1[[#This Row],[Total]]</f>
        <v>0.70161857846586906</v>
      </c>
      <c r="BL71" s="9">
        <f>100%-Table1[[#This Row],[35 to 64 years - Penetration Rate]]</f>
        <v>0.29838142153413094</v>
      </c>
      <c r="BM71" s="6">
        <v>248</v>
      </c>
      <c r="BN71" s="6">
        <v>604</v>
      </c>
      <c r="BO71" s="6">
        <f>SUM(Table1[[#This Row],[65 years and over - With one type of health insurance coverage]:[65 years and over - With two or more types of health insurance coverage &amp; Other coverage combinations]])</f>
        <v>1198</v>
      </c>
      <c r="BP71" s="9">
        <f>(Table1[[#This Row],[65 years and over]]-Table1[[#This Row],[65 years and over - No health insurance coverage]])/Table1[[#This Row],[65 years and over]]</f>
        <v>0.99172185430463577</v>
      </c>
      <c r="BQ71" s="9">
        <f>IFERROR(Table1[[#This Row],[Coverage Rate ( 65 years and over )]], 0)</f>
        <v>0.99172185430463577</v>
      </c>
      <c r="BR71" s="6">
        <v>204</v>
      </c>
      <c r="BS71" s="6">
        <v>16</v>
      </c>
      <c r="BT71" s="6">
        <v>0</v>
      </c>
      <c r="BU71" s="6">
        <v>188</v>
      </c>
      <c r="BV71" s="6">
        <v>0</v>
      </c>
      <c r="BW71" s="6">
        <v>0</v>
      </c>
      <c r="BX71" s="6">
        <v>395</v>
      </c>
      <c r="BY71" s="6">
        <v>0</v>
      </c>
      <c r="BZ71" s="6">
        <v>104</v>
      </c>
      <c r="CA71" s="6">
        <v>145</v>
      </c>
      <c r="CB71" s="6">
        <v>49</v>
      </c>
      <c r="CC71" s="6">
        <v>0</v>
      </c>
      <c r="CD71" s="6">
        <v>3</v>
      </c>
      <c r="CE71" s="6">
        <v>94</v>
      </c>
      <c r="CF71" s="9">
        <f>SUM(Table1[[#This Row],[65 years and over - With one type of health insurance coverage]:[65 years and over - With two or more types of health insurance coverage &amp; Other coverage combinations]])/Table1[[#This Row],[Total]]</f>
        <v>0.21076706544686841</v>
      </c>
      <c r="CG71" s="9">
        <f>100%-Table1[[#This Row],[65 years and over - Penetration Rate]]</f>
        <v>0.78923293455313159</v>
      </c>
      <c r="CH71" s="6">
        <v>5</v>
      </c>
      <c r="CI71" s="6"/>
    </row>
    <row r="72" spans="1:87" x14ac:dyDescent="0.35">
      <c r="A72" t="s">
        <v>77</v>
      </c>
      <c r="B72">
        <v>71</v>
      </c>
      <c r="C72" s="5">
        <v>2872</v>
      </c>
      <c r="D72" s="5">
        <v>224</v>
      </c>
      <c r="E72" s="5">
        <f>SUM(Table1[[#This Row],[Under 18 years - With one type of health insurance coverage]:[Under 18 years - With two or more types of health insurance coverage &amp; Other coverage combinations]])</f>
        <v>448</v>
      </c>
      <c r="F72" s="6">
        <v>143</v>
      </c>
      <c r="G72" s="6">
        <v>121</v>
      </c>
      <c r="H72" s="6">
        <v>0</v>
      </c>
      <c r="I72" s="6">
        <v>0</v>
      </c>
      <c r="J72" s="6">
        <v>22</v>
      </c>
      <c r="K72" s="6">
        <v>0</v>
      </c>
      <c r="L72" s="6">
        <v>0</v>
      </c>
      <c r="M72" s="6">
        <v>81</v>
      </c>
      <c r="N72" s="6">
        <v>0</v>
      </c>
      <c r="O72" s="6">
        <v>0</v>
      </c>
      <c r="P72" s="6">
        <v>68</v>
      </c>
      <c r="Q72" s="6">
        <v>0</v>
      </c>
      <c r="R72" s="6">
        <v>0</v>
      </c>
      <c r="S72" s="6">
        <v>13</v>
      </c>
      <c r="T72" s="9">
        <f>SUM(Table1[[#This Row],[Under 18 years - With one type of health insurance coverage]:[Under 18 years - With two or more types of health insurance coverage &amp; Other coverage combinations]])/Table1[[#This Row],[Total]]</f>
        <v>0.15598885793871867</v>
      </c>
      <c r="U72" s="9">
        <f>100%-Table1[[#This Row],[Under 18 years - Penetration Rate]]</f>
        <v>0.84401114206128136</v>
      </c>
      <c r="V72" s="6">
        <v>0</v>
      </c>
      <c r="W72" s="6">
        <v>1792</v>
      </c>
      <c r="X72" s="6">
        <f>SUM(Table1[[#This Row],[18 to 34 years - With one type of health insurance coverage]:[18 to 34 years - With two or more types of health insurance coverage &amp; Other coverage combinations]])</f>
        <v>3404</v>
      </c>
      <c r="Y72" s="9">
        <f>(Table1[[#This Row],[18 to 34 years]] - Table1[[#This Row],[18 to 34 years - No health insurance coverage]]) / Table1[[#This Row],[18 to 34 years]]</f>
        <v>0.9497767857142857</v>
      </c>
      <c r="Z72" s="9">
        <f>IFERROR(Table1[[#This Row],[Coverage Rate ( 18 to 34 years )]], 0)</f>
        <v>0.9497767857142857</v>
      </c>
      <c r="AA72" s="6">
        <v>1666</v>
      </c>
      <c r="AB72" s="6">
        <v>1147</v>
      </c>
      <c r="AC72" s="6">
        <v>515</v>
      </c>
      <c r="AD72" s="6">
        <v>0</v>
      </c>
      <c r="AE72" s="6">
        <v>4</v>
      </c>
      <c r="AF72" s="6">
        <v>0</v>
      </c>
      <c r="AG72" s="6">
        <v>0</v>
      </c>
      <c r="AH72" s="6">
        <v>36</v>
      </c>
      <c r="AI72" s="6">
        <v>17</v>
      </c>
      <c r="AJ72" s="6">
        <v>0</v>
      </c>
      <c r="AK72" s="6">
        <v>19</v>
      </c>
      <c r="AL72" s="6">
        <v>0</v>
      </c>
      <c r="AM72" s="6">
        <v>0</v>
      </c>
      <c r="AN72" s="6">
        <v>0</v>
      </c>
      <c r="AO72" s="9">
        <f>SUM(Table1[[#This Row],[18 to 34 years - With one type of health insurance coverage]:[18 to 34 years - With two or more types of health insurance coverage &amp; Other coverage combinations]])/Table1[[#This Row],[Total]]</f>
        <v>1.1852367688022285</v>
      </c>
      <c r="AP72" s="9">
        <f>100%-Table1[[#This Row],[18 to 34 years - Penetration rate]]</f>
        <v>-0.1852367688022285</v>
      </c>
      <c r="AQ72" s="6">
        <v>90</v>
      </c>
      <c r="AR72" s="6">
        <v>585</v>
      </c>
      <c r="AS72" s="6">
        <f>SUM(Table1[[#This Row],[35 to 64 years - With one type of health insurance coverage]:[35 to 64 years - With two or more types of health insurance coverage &amp; Other coverage combinations]])</f>
        <v>1028</v>
      </c>
      <c r="AT72" s="9">
        <f>(Table1[[#This Row],[35 to 64 years]]-Table1[[#This Row],[35 to 64 years - No health insurance coverage]])/Table1[[#This Row],[35 to 64 years]]</f>
        <v>0.87863247863247862</v>
      </c>
      <c r="AU72" s="9">
        <f>IFERROR(Table1[[#This Row],[Coverage Rate ( 35 to 64 years )]], 0)</f>
        <v>0.87863247863247862</v>
      </c>
      <c r="AV72" s="6">
        <v>418</v>
      </c>
      <c r="AW72" s="6">
        <v>279</v>
      </c>
      <c r="AX72" s="6">
        <v>73</v>
      </c>
      <c r="AY72" s="6">
        <v>0</v>
      </c>
      <c r="AZ72" s="6">
        <v>57</v>
      </c>
      <c r="BA72" s="6">
        <v>0</v>
      </c>
      <c r="BB72" s="6">
        <v>9</v>
      </c>
      <c r="BC72" s="6">
        <v>96</v>
      </c>
      <c r="BD72" s="6">
        <v>25</v>
      </c>
      <c r="BE72" s="6">
        <v>0</v>
      </c>
      <c r="BF72" s="6">
        <v>0</v>
      </c>
      <c r="BG72" s="6">
        <v>21</v>
      </c>
      <c r="BH72" s="6">
        <v>0</v>
      </c>
      <c r="BI72" s="6">
        <v>0</v>
      </c>
      <c r="BJ72" s="6">
        <v>50</v>
      </c>
      <c r="BK72" s="9">
        <f>SUM(Table1[[#This Row],[35 to 64 years - With one type of health insurance coverage]:[35 to 64 years - With two or more types of health insurance coverage &amp; Other coverage combinations]])/Table1[[#This Row],[Total]]</f>
        <v>0.35793871866295263</v>
      </c>
      <c r="BL72" s="9">
        <f>100%-Table1[[#This Row],[35 to 64 years - Penetration Rate]]</f>
        <v>0.64206128133704743</v>
      </c>
      <c r="BM72" s="6">
        <v>71</v>
      </c>
      <c r="BN72" s="6">
        <v>271</v>
      </c>
      <c r="BO72" s="6">
        <f>SUM(Table1[[#This Row],[65 years and over - With one type of health insurance coverage]:[65 years and over - With two or more types of health insurance coverage &amp; Other coverage combinations]])</f>
        <v>542</v>
      </c>
      <c r="BP72" s="9">
        <f>(Table1[[#This Row],[65 years and over]]-Table1[[#This Row],[65 years and over - No health insurance coverage]])/Table1[[#This Row],[65 years and over]]</f>
        <v>1</v>
      </c>
      <c r="BQ72" s="9">
        <f>IFERROR(Table1[[#This Row],[Coverage Rate ( 65 years and over )]], 0)</f>
        <v>1</v>
      </c>
      <c r="BR72" s="6">
        <v>40</v>
      </c>
      <c r="BS72" s="6">
        <v>8</v>
      </c>
      <c r="BT72" s="6">
        <v>0</v>
      </c>
      <c r="BU72" s="6">
        <v>32</v>
      </c>
      <c r="BV72" s="6">
        <v>0</v>
      </c>
      <c r="BW72" s="6">
        <v>0</v>
      </c>
      <c r="BX72" s="6">
        <v>231</v>
      </c>
      <c r="BY72" s="6">
        <v>0</v>
      </c>
      <c r="BZ72" s="6">
        <v>24</v>
      </c>
      <c r="CA72" s="6">
        <v>118</v>
      </c>
      <c r="CB72" s="6">
        <v>12</v>
      </c>
      <c r="CC72" s="6">
        <v>0</v>
      </c>
      <c r="CD72" s="6">
        <v>8</v>
      </c>
      <c r="CE72" s="6">
        <v>69</v>
      </c>
      <c r="CF72" s="9">
        <f>SUM(Table1[[#This Row],[65 years and over - With one type of health insurance coverage]:[65 years and over - With two or more types of health insurance coverage &amp; Other coverage combinations]])/Table1[[#This Row],[Total]]</f>
        <v>0.18871866295264625</v>
      </c>
      <c r="CG72" s="9">
        <f>100%-Table1[[#This Row],[65 years and over - Penetration Rate]]</f>
        <v>0.81128133704735372</v>
      </c>
      <c r="CH72" s="6">
        <v>0</v>
      </c>
      <c r="CI72" s="6"/>
    </row>
    <row r="73" spans="1:87" x14ac:dyDescent="0.35">
      <c r="A73" t="s">
        <v>78</v>
      </c>
      <c r="B73">
        <v>72</v>
      </c>
      <c r="C73" s="5">
        <v>12</v>
      </c>
      <c r="D73" s="5">
        <v>0</v>
      </c>
      <c r="E73" s="5">
        <f>SUM(Table1[[#This Row],[Under 18 years - With one type of health insurance coverage]:[Under 18 years - With two or more types of health insurance coverage &amp; Other coverage combinations]])</f>
        <v>0</v>
      </c>
      <c r="F73" s="6">
        <v>0</v>
      </c>
      <c r="G73" s="6">
        <v>0</v>
      </c>
      <c r="H73" s="6">
        <v>0</v>
      </c>
      <c r="I73" s="6">
        <v>0</v>
      </c>
      <c r="J73" s="6">
        <v>0</v>
      </c>
      <c r="K73" s="6">
        <v>0</v>
      </c>
      <c r="L73" s="6">
        <v>0</v>
      </c>
      <c r="M73" s="6">
        <v>0</v>
      </c>
      <c r="N73" s="6">
        <v>0</v>
      </c>
      <c r="O73" s="6">
        <v>0</v>
      </c>
      <c r="P73" s="6">
        <v>0</v>
      </c>
      <c r="Q73" s="6">
        <v>0</v>
      </c>
      <c r="R73" s="6">
        <v>0</v>
      </c>
      <c r="S73" s="6">
        <v>0</v>
      </c>
      <c r="T73" s="9">
        <f>SUM(Table1[[#This Row],[Under 18 years - With one type of health insurance coverage]:[Under 18 years - With two or more types of health insurance coverage &amp; Other coverage combinations]])/Table1[[#This Row],[Total]]</f>
        <v>0</v>
      </c>
      <c r="U73" s="9">
        <f>100%-Table1[[#This Row],[Under 18 years - Penetration Rate]]</f>
        <v>1</v>
      </c>
      <c r="V73" s="6">
        <v>0</v>
      </c>
      <c r="W73" s="6">
        <v>8</v>
      </c>
      <c r="X73" s="6">
        <f>SUM(Table1[[#This Row],[18 to 34 years - With one type of health insurance coverage]:[18 to 34 years - With two or more types of health insurance coverage &amp; Other coverage combinations]])</f>
        <v>16</v>
      </c>
      <c r="Y73" s="9">
        <f>(Table1[[#This Row],[18 to 34 years]] - Table1[[#This Row],[18 to 34 years - No health insurance coverage]]) / Table1[[#This Row],[18 to 34 years]]</f>
        <v>1</v>
      </c>
      <c r="Z73" s="9">
        <f>IFERROR(Table1[[#This Row],[Coverage Rate ( 18 to 34 years )]], 0)</f>
        <v>1</v>
      </c>
      <c r="AA73" s="6">
        <v>8</v>
      </c>
      <c r="AB73" s="6">
        <v>8</v>
      </c>
      <c r="AC73" s="6">
        <v>0</v>
      </c>
      <c r="AD73" s="6">
        <v>0</v>
      </c>
      <c r="AE73" s="6">
        <v>0</v>
      </c>
      <c r="AF73" s="6">
        <v>0</v>
      </c>
      <c r="AG73" s="6">
        <v>0</v>
      </c>
      <c r="AH73" s="6">
        <v>0</v>
      </c>
      <c r="AI73" s="6">
        <v>0</v>
      </c>
      <c r="AJ73" s="6">
        <v>0</v>
      </c>
      <c r="AK73" s="6">
        <v>0</v>
      </c>
      <c r="AL73" s="6">
        <v>0</v>
      </c>
      <c r="AM73" s="6">
        <v>0</v>
      </c>
      <c r="AN73" s="6">
        <v>0</v>
      </c>
      <c r="AO73" s="9">
        <f>SUM(Table1[[#This Row],[18 to 34 years - With one type of health insurance coverage]:[18 to 34 years - With two or more types of health insurance coverage &amp; Other coverage combinations]])/Table1[[#This Row],[Total]]</f>
        <v>1.3333333333333333</v>
      </c>
      <c r="AP73" s="9">
        <f>100%-Table1[[#This Row],[18 to 34 years - Penetration rate]]</f>
        <v>-0.33333333333333326</v>
      </c>
      <c r="AQ73" s="6">
        <v>0</v>
      </c>
      <c r="AR73" s="6">
        <v>4</v>
      </c>
      <c r="AS73" s="6">
        <f>SUM(Table1[[#This Row],[35 to 64 years - With one type of health insurance coverage]:[35 to 64 years - With two or more types of health insurance coverage &amp; Other coverage combinations]])</f>
        <v>8</v>
      </c>
      <c r="AT73" s="9">
        <f>(Table1[[#This Row],[35 to 64 years]]-Table1[[#This Row],[35 to 64 years - No health insurance coverage]])/Table1[[#This Row],[35 to 64 years]]</f>
        <v>1</v>
      </c>
      <c r="AU73" s="9">
        <f>IFERROR(Table1[[#This Row],[Coverage Rate ( 35 to 64 years )]], 0)</f>
        <v>1</v>
      </c>
      <c r="AV73" s="6">
        <v>4</v>
      </c>
      <c r="AW73" s="6">
        <v>4</v>
      </c>
      <c r="AX73" s="6">
        <v>0</v>
      </c>
      <c r="AY73" s="6">
        <v>0</v>
      </c>
      <c r="AZ73" s="6">
        <v>0</v>
      </c>
      <c r="BA73" s="6">
        <v>0</v>
      </c>
      <c r="BB73" s="6">
        <v>0</v>
      </c>
      <c r="BC73" s="6">
        <v>0</v>
      </c>
      <c r="BD73" s="6">
        <v>0</v>
      </c>
      <c r="BE73" s="6">
        <v>0</v>
      </c>
      <c r="BF73" s="6">
        <v>0</v>
      </c>
      <c r="BG73" s="6">
        <v>0</v>
      </c>
      <c r="BH73" s="6">
        <v>0</v>
      </c>
      <c r="BI73" s="6">
        <v>0</v>
      </c>
      <c r="BJ73" s="6">
        <v>0</v>
      </c>
      <c r="BK73" s="9">
        <f>SUM(Table1[[#This Row],[35 to 64 years - With one type of health insurance coverage]:[35 to 64 years - With two or more types of health insurance coverage &amp; Other coverage combinations]])/Table1[[#This Row],[Total]]</f>
        <v>0.66666666666666663</v>
      </c>
      <c r="BL73" s="9">
        <f>100%-Table1[[#This Row],[35 to 64 years - Penetration Rate]]</f>
        <v>0.33333333333333337</v>
      </c>
      <c r="BM73" s="6">
        <v>0</v>
      </c>
      <c r="BN73" s="6">
        <v>0</v>
      </c>
      <c r="BO73" s="6">
        <f>SUM(Table1[[#This Row],[65 years and over - With one type of health insurance coverage]:[65 years and over - With two or more types of health insurance coverage &amp; Other coverage combinations]])</f>
        <v>0</v>
      </c>
      <c r="BP73" s="9" t="e">
        <f>(Table1[[#This Row],[65 years and over]]-Table1[[#This Row],[65 years and over - No health insurance coverage]])/Table1[[#This Row],[65 years and over]]</f>
        <v>#DIV/0!</v>
      </c>
      <c r="BQ73" s="9">
        <f>IFERROR(Table1[[#This Row],[Coverage Rate ( 65 years and over )]], 0)</f>
        <v>0</v>
      </c>
      <c r="BR73" s="6">
        <v>0</v>
      </c>
      <c r="BS73" s="6">
        <v>0</v>
      </c>
      <c r="BT73" s="6">
        <v>0</v>
      </c>
      <c r="BU73" s="6">
        <v>0</v>
      </c>
      <c r="BV73" s="6">
        <v>0</v>
      </c>
      <c r="BW73" s="6">
        <v>0</v>
      </c>
      <c r="BX73" s="6">
        <v>0</v>
      </c>
      <c r="BY73" s="6">
        <v>0</v>
      </c>
      <c r="BZ73" s="6">
        <v>0</v>
      </c>
      <c r="CA73" s="6">
        <v>0</v>
      </c>
      <c r="CB73" s="6">
        <v>0</v>
      </c>
      <c r="CC73" s="6">
        <v>0</v>
      </c>
      <c r="CD73" s="6">
        <v>0</v>
      </c>
      <c r="CE73" s="6">
        <v>0</v>
      </c>
      <c r="CF73" s="9">
        <f>SUM(Table1[[#This Row],[65 years and over - With one type of health insurance coverage]:[65 years and over - With two or more types of health insurance coverage &amp; Other coverage combinations]])/Table1[[#This Row],[Total]]</f>
        <v>0</v>
      </c>
      <c r="CG73" s="9">
        <f>100%-Table1[[#This Row],[65 years and over - Penetration Rate]]</f>
        <v>1</v>
      </c>
      <c r="CH73" s="6">
        <v>0</v>
      </c>
      <c r="CI73" s="6"/>
    </row>
    <row r="74" spans="1:87" x14ac:dyDescent="0.35">
      <c r="A74" t="s">
        <v>79</v>
      </c>
      <c r="B74">
        <v>73</v>
      </c>
      <c r="C74" s="5">
        <v>6272</v>
      </c>
      <c r="D74" s="5">
        <v>266</v>
      </c>
      <c r="E74" s="5">
        <f>SUM(Table1[[#This Row],[Under 18 years - With one type of health insurance coverage]:[Under 18 years - With two or more types of health insurance coverage &amp; Other coverage combinations]])</f>
        <v>532</v>
      </c>
      <c r="F74" s="6">
        <v>241</v>
      </c>
      <c r="G74" s="6">
        <v>196</v>
      </c>
      <c r="H74" s="6">
        <v>11</v>
      </c>
      <c r="I74" s="6">
        <v>0</v>
      </c>
      <c r="J74" s="6">
        <v>34</v>
      </c>
      <c r="K74" s="6">
        <v>0</v>
      </c>
      <c r="L74" s="6">
        <v>0</v>
      </c>
      <c r="M74" s="6">
        <v>25</v>
      </c>
      <c r="N74" s="6">
        <v>15</v>
      </c>
      <c r="O74" s="6">
        <v>0</v>
      </c>
      <c r="P74" s="6">
        <v>0</v>
      </c>
      <c r="Q74" s="6">
        <v>0</v>
      </c>
      <c r="R74" s="6">
        <v>0</v>
      </c>
      <c r="S74" s="6">
        <v>10</v>
      </c>
      <c r="T74" s="9">
        <f>SUM(Table1[[#This Row],[Under 18 years - With one type of health insurance coverage]:[Under 18 years - With two or more types of health insurance coverage &amp; Other coverage combinations]])/Table1[[#This Row],[Total]]</f>
        <v>8.4821428571428575E-2</v>
      </c>
      <c r="U74" s="9">
        <f>100%-Table1[[#This Row],[Under 18 years - Penetration Rate]]</f>
        <v>0.9151785714285714</v>
      </c>
      <c r="V74" s="6">
        <v>0</v>
      </c>
      <c r="W74" s="6">
        <v>3623</v>
      </c>
      <c r="X74" s="6">
        <f>SUM(Table1[[#This Row],[18 to 34 years - With one type of health insurance coverage]:[18 to 34 years - With two or more types of health insurance coverage &amp; Other coverage combinations]])</f>
        <v>6638</v>
      </c>
      <c r="Y74" s="9">
        <f>(Table1[[#This Row],[18 to 34 years]] - Table1[[#This Row],[18 to 34 years - No health insurance coverage]]) / Table1[[#This Row],[18 to 34 years]]</f>
        <v>0.91609163676511174</v>
      </c>
      <c r="Z74" s="9">
        <f>IFERROR(Table1[[#This Row],[Coverage Rate ( 18 to 34 years )]], 0)</f>
        <v>0.91609163676511174</v>
      </c>
      <c r="AA74" s="6">
        <v>3211</v>
      </c>
      <c r="AB74" s="6">
        <v>2785</v>
      </c>
      <c r="AC74" s="6">
        <v>344</v>
      </c>
      <c r="AD74" s="6">
        <v>0</v>
      </c>
      <c r="AE74" s="6">
        <v>72</v>
      </c>
      <c r="AF74" s="6">
        <v>10</v>
      </c>
      <c r="AG74" s="6">
        <v>0</v>
      </c>
      <c r="AH74" s="6">
        <v>108</v>
      </c>
      <c r="AI74" s="6">
        <v>89</v>
      </c>
      <c r="AJ74" s="6">
        <v>0</v>
      </c>
      <c r="AK74" s="6">
        <v>0</v>
      </c>
      <c r="AL74" s="6">
        <v>0</v>
      </c>
      <c r="AM74" s="6">
        <v>0</v>
      </c>
      <c r="AN74" s="6">
        <v>19</v>
      </c>
      <c r="AO74" s="9">
        <f>SUM(Table1[[#This Row],[18 to 34 years - With one type of health insurance coverage]:[18 to 34 years - With two or more types of health insurance coverage &amp; Other coverage combinations]])/Table1[[#This Row],[Total]]</f>
        <v>1.0583545918367347</v>
      </c>
      <c r="AP74" s="9">
        <f>100%-Table1[[#This Row],[18 to 34 years - Penetration rate]]</f>
        <v>-5.8354591836734748E-2</v>
      </c>
      <c r="AQ74" s="6">
        <v>304</v>
      </c>
      <c r="AR74" s="6">
        <v>1629</v>
      </c>
      <c r="AS74" s="6">
        <f>SUM(Table1[[#This Row],[35 to 64 years - With one type of health insurance coverage]:[35 to 64 years - With two or more types of health insurance coverage &amp; Other coverage combinations]])</f>
        <v>3026</v>
      </c>
      <c r="AT74" s="9">
        <f>(Table1[[#This Row],[35 to 64 years]]-Table1[[#This Row],[35 to 64 years - No health insurance coverage]])/Table1[[#This Row],[35 to 64 years]]</f>
        <v>0.92879066912216079</v>
      </c>
      <c r="AU74" s="9">
        <f>IFERROR(Table1[[#This Row],[Coverage Rate ( 35 to 64 years )]], 0)</f>
        <v>0.92879066912216079</v>
      </c>
      <c r="AV74" s="6">
        <v>1427</v>
      </c>
      <c r="AW74" s="6">
        <v>1185</v>
      </c>
      <c r="AX74" s="6">
        <v>129</v>
      </c>
      <c r="AY74" s="6">
        <v>8</v>
      </c>
      <c r="AZ74" s="6">
        <v>95</v>
      </c>
      <c r="BA74" s="6">
        <v>0</v>
      </c>
      <c r="BB74" s="6">
        <v>10</v>
      </c>
      <c r="BC74" s="6">
        <v>86</v>
      </c>
      <c r="BD74" s="6">
        <v>27</v>
      </c>
      <c r="BE74" s="6">
        <v>0</v>
      </c>
      <c r="BF74" s="6">
        <v>10</v>
      </c>
      <c r="BG74" s="6">
        <v>16</v>
      </c>
      <c r="BH74" s="6">
        <v>0</v>
      </c>
      <c r="BI74" s="6">
        <v>25</v>
      </c>
      <c r="BJ74" s="6">
        <v>8</v>
      </c>
      <c r="BK74" s="9">
        <f>SUM(Table1[[#This Row],[35 to 64 years - With one type of health insurance coverage]:[35 to 64 years - With two or more types of health insurance coverage &amp; Other coverage combinations]])/Table1[[#This Row],[Total]]</f>
        <v>0.48246173469387754</v>
      </c>
      <c r="BL74" s="9">
        <f>100%-Table1[[#This Row],[35 to 64 years - Penetration Rate]]</f>
        <v>0.51753826530612246</v>
      </c>
      <c r="BM74" s="6">
        <v>116</v>
      </c>
      <c r="BN74" s="6">
        <v>754</v>
      </c>
      <c r="BO74" s="6">
        <f>SUM(Table1[[#This Row],[65 years and over - With one type of health insurance coverage]:[65 years and over - With two or more types of health insurance coverage &amp; Other coverage combinations]])</f>
        <v>1508</v>
      </c>
      <c r="BP74" s="9">
        <f>(Table1[[#This Row],[65 years and over]]-Table1[[#This Row],[65 years and over - No health insurance coverage]])/Table1[[#This Row],[65 years and over]]</f>
        <v>1</v>
      </c>
      <c r="BQ74" s="9">
        <f>IFERROR(Table1[[#This Row],[Coverage Rate ( 65 years and over )]], 0)</f>
        <v>1</v>
      </c>
      <c r="BR74" s="6">
        <v>149</v>
      </c>
      <c r="BS74" s="6">
        <v>29</v>
      </c>
      <c r="BT74" s="6">
        <v>0</v>
      </c>
      <c r="BU74" s="6">
        <v>120</v>
      </c>
      <c r="BV74" s="6">
        <v>0</v>
      </c>
      <c r="BW74" s="6">
        <v>0</v>
      </c>
      <c r="BX74" s="6">
        <v>605</v>
      </c>
      <c r="BY74" s="6">
        <v>0</v>
      </c>
      <c r="BZ74" s="6">
        <v>101</v>
      </c>
      <c r="CA74" s="6">
        <v>161</v>
      </c>
      <c r="CB74" s="6">
        <v>140</v>
      </c>
      <c r="CC74" s="6">
        <v>0</v>
      </c>
      <c r="CD74" s="6">
        <v>3</v>
      </c>
      <c r="CE74" s="6">
        <v>200</v>
      </c>
      <c r="CF74" s="9">
        <f>SUM(Table1[[#This Row],[65 years and over - With one type of health insurance coverage]:[65 years and over - With two or more types of health insurance coverage &amp; Other coverage combinations]])/Table1[[#This Row],[Total]]</f>
        <v>0.24043367346938777</v>
      </c>
      <c r="CG74" s="9">
        <f>100%-Table1[[#This Row],[65 years and over - Penetration Rate]]</f>
        <v>0.75956632653061229</v>
      </c>
      <c r="CH74" s="6">
        <v>0</v>
      </c>
      <c r="CI74" s="6"/>
    </row>
    <row r="75" spans="1:87" x14ac:dyDescent="0.35">
      <c r="A75" t="s">
        <v>80</v>
      </c>
      <c r="B75">
        <v>74</v>
      </c>
      <c r="C75" s="5">
        <v>4583</v>
      </c>
      <c r="D75" s="5">
        <v>433</v>
      </c>
      <c r="E75" s="5">
        <f>SUM(Table1[[#This Row],[Under 18 years - With one type of health insurance coverage]:[Under 18 years - With two or more types of health insurance coverage &amp; Other coverage combinations]])</f>
        <v>786</v>
      </c>
      <c r="F75" s="6">
        <v>356</v>
      </c>
      <c r="G75" s="6">
        <v>156</v>
      </c>
      <c r="H75" s="6">
        <v>0</v>
      </c>
      <c r="I75" s="6">
        <v>0</v>
      </c>
      <c r="J75" s="6">
        <v>200</v>
      </c>
      <c r="K75" s="6">
        <v>0</v>
      </c>
      <c r="L75" s="6">
        <v>0</v>
      </c>
      <c r="M75" s="6">
        <v>37</v>
      </c>
      <c r="N75" s="6">
        <v>0</v>
      </c>
      <c r="O75" s="6">
        <v>0</v>
      </c>
      <c r="P75" s="6">
        <v>0</v>
      </c>
      <c r="Q75" s="6">
        <v>7</v>
      </c>
      <c r="R75" s="6">
        <v>0</v>
      </c>
      <c r="S75" s="6">
        <v>30</v>
      </c>
      <c r="T75" s="9">
        <f>SUM(Table1[[#This Row],[Under 18 years - With one type of health insurance coverage]:[Under 18 years - With two or more types of health insurance coverage &amp; Other coverage combinations]])/Table1[[#This Row],[Total]]</f>
        <v>0.17150338206415011</v>
      </c>
      <c r="U75" s="9">
        <f>100%-Table1[[#This Row],[Under 18 years - Penetration Rate]]</f>
        <v>0.82849661793584994</v>
      </c>
      <c r="V75" s="6">
        <v>40</v>
      </c>
      <c r="W75" s="6">
        <v>2090</v>
      </c>
      <c r="X75" s="6">
        <f>SUM(Table1[[#This Row],[18 to 34 years - With one type of health insurance coverage]:[18 to 34 years - With two or more types of health insurance coverage &amp; Other coverage combinations]])</f>
        <v>3530</v>
      </c>
      <c r="Y75" s="9">
        <f>(Table1[[#This Row],[18 to 34 years]] - Table1[[#This Row],[18 to 34 years - No health insurance coverage]]) / Table1[[#This Row],[18 to 34 years]]</f>
        <v>0.84449760765550241</v>
      </c>
      <c r="Z75" s="9">
        <f>IFERROR(Table1[[#This Row],[Coverage Rate ( 18 to 34 years )]], 0)</f>
        <v>0.84449760765550241</v>
      </c>
      <c r="AA75" s="6">
        <v>1722</v>
      </c>
      <c r="AB75" s="6">
        <v>1355</v>
      </c>
      <c r="AC75" s="6">
        <v>174</v>
      </c>
      <c r="AD75" s="6">
        <v>0</v>
      </c>
      <c r="AE75" s="6">
        <v>177</v>
      </c>
      <c r="AF75" s="6">
        <v>0</v>
      </c>
      <c r="AG75" s="6">
        <v>16</v>
      </c>
      <c r="AH75" s="6">
        <v>43</v>
      </c>
      <c r="AI75" s="6">
        <v>36</v>
      </c>
      <c r="AJ75" s="6">
        <v>0</v>
      </c>
      <c r="AK75" s="6">
        <v>0</v>
      </c>
      <c r="AL75" s="6">
        <v>0</v>
      </c>
      <c r="AM75" s="6">
        <v>0</v>
      </c>
      <c r="AN75" s="6">
        <v>7</v>
      </c>
      <c r="AO75" s="9">
        <f>SUM(Table1[[#This Row],[18 to 34 years - With one type of health insurance coverage]:[18 to 34 years - With two or more types of health insurance coverage &amp; Other coverage combinations]])/Table1[[#This Row],[Total]]</f>
        <v>0.77023783547894398</v>
      </c>
      <c r="AP75" s="9">
        <f>100%-Table1[[#This Row],[18 to 34 years - Penetration rate]]</f>
        <v>0.22976216452105602</v>
      </c>
      <c r="AQ75" s="6">
        <v>325</v>
      </c>
      <c r="AR75" s="6">
        <v>1590</v>
      </c>
      <c r="AS75" s="6">
        <f>SUM(Table1[[#This Row],[35 to 64 years - With one type of health insurance coverage]:[35 to 64 years - With two or more types of health insurance coverage &amp; Other coverage combinations]])</f>
        <v>2700</v>
      </c>
      <c r="AT75" s="9">
        <f>(Table1[[#This Row],[35 to 64 years]]-Table1[[#This Row],[35 to 64 years - No health insurance coverage]])/Table1[[#This Row],[35 to 64 years]]</f>
        <v>0.84905660377358494</v>
      </c>
      <c r="AU75" s="9">
        <f>IFERROR(Table1[[#This Row],[Coverage Rate ( 35 to 64 years )]], 0)</f>
        <v>0.84905660377358494</v>
      </c>
      <c r="AV75" s="6">
        <v>1159</v>
      </c>
      <c r="AW75" s="6">
        <v>769</v>
      </c>
      <c r="AX75" s="6">
        <v>174</v>
      </c>
      <c r="AY75" s="6">
        <v>0</v>
      </c>
      <c r="AZ75" s="6">
        <v>205</v>
      </c>
      <c r="BA75" s="6">
        <v>0</v>
      </c>
      <c r="BB75" s="6">
        <v>11</v>
      </c>
      <c r="BC75" s="6">
        <v>191</v>
      </c>
      <c r="BD75" s="6">
        <v>0</v>
      </c>
      <c r="BE75" s="6">
        <v>29</v>
      </c>
      <c r="BF75" s="6">
        <v>8</v>
      </c>
      <c r="BG75" s="6">
        <v>44</v>
      </c>
      <c r="BH75" s="6">
        <v>0</v>
      </c>
      <c r="BI75" s="6">
        <v>0</v>
      </c>
      <c r="BJ75" s="6">
        <v>110</v>
      </c>
      <c r="BK75" s="9">
        <f>SUM(Table1[[#This Row],[35 to 64 years - With one type of health insurance coverage]:[35 to 64 years - With two or more types of health insurance coverage &amp; Other coverage combinations]])/Table1[[#This Row],[Total]]</f>
        <v>0.58913375518219502</v>
      </c>
      <c r="BL75" s="9">
        <f>100%-Table1[[#This Row],[35 to 64 years - Penetration Rate]]</f>
        <v>0.41086624481780498</v>
      </c>
      <c r="BM75" s="6">
        <v>240</v>
      </c>
      <c r="BN75" s="6">
        <v>470</v>
      </c>
      <c r="BO75" s="6">
        <f>SUM(Table1[[#This Row],[65 years and over - With one type of health insurance coverage]:[65 years and over - With two or more types of health insurance coverage &amp; Other coverage combinations]])</f>
        <v>940</v>
      </c>
      <c r="BP75" s="9">
        <f>(Table1[[#This Row],[65 years and over]]-Table1[[#This Row],[65 years and over - No health insurance coverage]])/Table1[[#This Row],[65 years and over]]</f>
        <v>1</v>
      </c>
      <c r="BQ75" s="9">
        <f>IFERROR(Table1[[#This Row],[Coverage Rate ( 65 years and over )]], 0)</f>
        <v>1</v>
      </c>
      <c r="BR75" s="6">
        <v>119</v>
      </c>
      <c r="BS75" s="6">
        <v>5</v>
      </c>
      <c r="BT75" s="6">
        <v>6</v>
      </c>
      <c r="BU75" s="6">
        <v>108</v>
      </c>
      <c r="BV75" s="6">
        <v>0</v>
      </c>
      <c r="BW75" s="6">
        <v>0</v>
      </c>
      <c r="BX75" s="6">
        <v>351</v>
      </c>
      <c r="BY75" s="6">
        <v>0</v>
      </c>
      <c r="BZ75" s="6">
        <v>89</v>
      </c>
      <c r="CA75" s="6">
        <v>76</v>
      </c>
      <c r="CB75" s="6">
        <v>49</v>
      </c>
      <c r="CC75" s="6">
        <v>0</v>
      </c>
      <c r="CD75" s="6">
        <v>24</v>
      </c>
      <c r="CE75" s="6">
        <v>113</v>
      </c>
      <c r="CF75" s="9">
        <f>SUM(Table1[[#This Row],[65 years and over - With one type of health insurance coverage]:[65 years and over - With two or more types of health insurance coverage &amp; Other coverage combinations]])/Table1[[#This Row],[Total]]</f>
        <v>0.20510582587824569</v>
      </c>
      <c r="CG75" s="9">
        <f>100%-Table1[[#This Row],[65 years and over - Penetration Rate]]</f>
        <v>0.79489417412175434</v>
      </c>
      <c r="CH75" s="6">
        <v>0</v>
      </c>
      <c r="CI75" s="6"/>
    </row>
    <row r="76" spans="1:87" x14ac:dyDescent="0.35">
      <c r="A76" t="s">
        <v>81</v>
      </c>
      <c r="B76">
        <v>75</v>
      </c>
      <c r="C76" s="5">
        <v>833</v>
      </c>
      <c r="D76" s="5">
        <v>126</v>
      </c>
      <c r="E76" s="5">
        <f>SUM(Table1[[#This Row],[Under 18 years - With one type of health insurance coverage]:[Under 18 years - With two or more types of health insurance coverage &amp; Other coverage combinations]])</f>
        <v>252</v>
      </c>
      <c r="F76" s="6">
        <v>119</v>
      </c>
      <c r="G76" s="6">
        <v>50</v>
      </c>
      <c r="H76" s="6">
        <v>0</v>
      </c>
      <c r="I76" s="6">
        <v>0</v>
      </c>
      <c r="J76" s="6">
        <v>69</v>
      </c>
      <c r="K76" s="6">
        <v>0</v>
      </c>
      <c r="L76" s="6">
        <v>0</v>
      </c>
      <c r="M76" s="6">
        <v>7</v>
      </c>
      <c r="N76" s="6">
        <v>0</v>
      </c>
      <c r="O76" s="6">
        <v>0</v>
      </c>
      <c r="P76" s="6">
        <v>0</v>
      </c>
      <c r="Q76" s="6">
        <v>0</v>
      </c>
      <c r="R76" s="6">
        <v>0</v>
      </c>
      <c r="S76" s="6">
        <v>7</v>
      </c>
      <c r="T76" s="9">
        <f>SUM(Table1[[#This Row],[Under 18 years - With one type of health insurance coverage]:[Under 18 years - With two or more types of health insurance coverage &amp; Other coverage combinations]])/Table1[[#This Row],[Total]]</f>
        <v>0.30252100840336132</v>
      </c>
      <c r="U76" s="9">
        <f>100%-Table1[[#This Row],[Under 18 years - Penetration Rate]]</f>
        <v>0.69747899159663862</v>
      </c>
      <c r="V76" s="6">
        <v>0</v>
      </c>
      <c r="W76" s="6">
        <v>209</v>
      </c>
      <c r="X76" s="6">
        <f>SUM(Table1[[#This Row],[18 to 34 years - With one type of health insurance coverage]:[18 to 34 years - With two or more types of health insurance coverage &amp; Other coverage combinations]])</f>
        <v>364</v>
      </c>
      <c r="Y76" s="9">
        <f>(Table1[[#This Row],[18 to 34 years]] - Table1[[#This Row],[18 to 34 years - No health insurance coverage]]) / Table1[[#This Row],[18 to 34 years]]</f>
        <v>0.87081339712918659</v>
      </c>
      <c r="Z76" s="9">
        <f>IFERROR(Table1[[#This Row],[Coverage Rate ( 18 to 34 years )]], 0)</f>
        <v>0.87081339712918659</v>
      </c>
      <c r="AA76" s="6">
        <v>158</v>
      </c>
      <c r="AB76" s="6">
        <v>89</v>
      </c>
      <c r="AC76" s="6">
        <v>12</v>
      </c>
      <c r="AD76" s="6">
        <v>0</v>
      </c>
      <c r="AE76" s="6">
        <v>57</v>
      </c>
      <c r="AF76" s="6">
        <v>0</v>
      </c>
      <c r="AG76" s="6">
        <v>0</v>
      </c>
      <c r="AH76" s="6">
        <v>24</v>
      </c>
      <c r="AI76" s="6">
        <v>0</v>
      </c>
      <c r="AJ76" s="6">
        <v>0</v>
      </c>
      <c r="AK76" s="6">
        <v>8</v>
      </c>
      <c r="AL76" s="6">
        <v>8</v>
      </c>
      <c r="AM76" s="6">
        <v>0</v>
      </c>
      <c r="AN76" s="6">
        <v>8</v>
      </c>
      <c r="AO76" s="9">
        <f>SUM(Table1[[#This Row],[18 to 34 years - With one type of health insurance coverage]:[18 to 34 years - With two or more types of health insurance coverage &amp; Other coverage combinations]])/Table1[[#This Row],[Total]]</f>
        <v>0.43697478991596639</v>
      </c>
      <c r="AP76" s="9">
        <f>100%-Table1[[#This Row],[18 to 34 years - Penetration rate]]</f>
        <v>0.56302521008403361</v>
      </c>
      <c r="AQ76" s="6">
        <v>27</v>
      </c>
      <c r="AR76" s="6">
        <v>368</v>
      </c>
      <c r="AS76" s="6">
        <f>SUM(Table1[[#This Row],[35 to 64 years - With one type of health insurance coverage]:[35 to 64 years - With two or more types of health insurance coverage &amp; Other coverage combinations]])</f>
        <v>606</v>
      </c>
      <c r="AT76" s="9">
        <f>(Table1[[#This Row],[35 to 64 years]]-Table1[[#This Row],[35 to 64 years - No health insurance coverage]])/Table1[[#This Row],[35 to 64 years]]</f>
        <v>0.82336956521739135</v>
      </c>
      <c r="AU76" s="9">
        <f>IFERROR(Table1[[#This Row],[Coverage Rate ( 35 to 64 years )]], 0)</f>
        <v>0.82336956521739135</v>
      </c>
      <c r="AV76" s="6">
        <v>227</v>
      </c>
      <c r="AW76" s="6">
        <v>141</v>
      </c>
      <c r="AX76" s="6">
        <v>27</v>
      </c>
      <c r="AY76" s="6">
        <v>13</v>
      </c>
      <c r="AZ76" s="6">
        <v>46</v>
      </c>
      <c r="BA76" s="6">
        <v>0</v>
      </c>
      <c r="BB76" s="6">
        <v>0</v>
      </c>
      <c r="BC76" s="6">
        <v>76</v>
      </c>
      <c r="BD76" s="6">
        <v>0</v>
      </c>
      <c r="BE76" s="6">
        <v>0</v>
      </c>
      <c r="BF76" s="6">
        <v>0</v>
      </c>
      <c r="BG76" s="6">
        <v>62</v>
      </c>
      <c r="BH76" s="6">
        <v>0</v>
      </c>
      <c r="BI76" s="6">
        <v>0</v>
      </c>
      <c r="BJ76" s="6">
        <v>14</v>
      </c>
      <c r="BK76" s="9">
        <f>SUM(Table1[[#This Row],[35 to 64 years - With one type of health insurance coverage]:[35 to 64 years - With two or more types of health insurance coverage &amp; Other coverage combinations]])/Table1[[#This Row],[Total]]</f>
        <v>0.72749099639855941</v>
      </c>
      <c r="BL76" s="9">
        <f>100%-Table1[[#This Row],[35 to 64 years - Penetration Rate]]</f>
        <v>0.27250900360144059</v>
      </c>
      <c r="BM76" s="6">
        <v>65</v>
      </c>
      <c r="BN76" s="6">
        <v>130</v>
      </c>
      <c r="BO76" s="6">
        <f>SUM(Table1[[#This Row],[65 years and over - With one type of health insurance coverage]:[65 years and over - With two or more types of health insurance coverage &amp; Other coverage combinations]])</f>
        <v>260</v>
      </c>
      <c r="BP76" s="9">
        <f>(Table1[[#This Row],[65 years and over]]-Table1[[#This Row],[65 years and over - No health insurance coverage]])/Table1[[#This Row],[65 years and over]]</f>
        <v>1</v>
      </c>
      <c r="BQ76" s="9">
        <f>IFERROR(Table1[[#This Row],[Coverage Rate ( 65 years and over )]], 0)</f>
        <v>1</v>
      </c>
      <c r="BR76" s="6">
        <v>16</v>
      </c>
      <c r="BS76" s="6">
        <v>0</v>
      </c>
      <c r="BT76" s="6">
        <v>0</v>
      </c>
      <c r="BU76" s="6">
        <v>16</v>
      </c>
      <c r="BV76" s="6">
        <v>0</v>
      </c>
      <c r="BW76" s="6">
        <v>0</v>
      </c>
      <c r="BX76" s="6">
        <v>114</v>
      </c>
      <c r="BY76" s="6">
        <v>0</v>
      </c>
      <c r="BZ76" s="6">
        <v>42</v>
      </c>
      <c r="CA76" s="6">
        <v>35</v>
      </c>
      <c r="CB76" s="6">
        <v>4</v>
      </c>
      <c r="CC76" s="6">
        <v>0</v>
      </c>
      <c r="CD76" s="6">
        <v>0</v>
      </c>
      <c r="CE76" s="6">
        <v>33</v>
      </c>
      <c r="CF76" s="9">
        <f>SUM(Table1[[#This Row],[65 years and over - With one type of health insurance coverage]:[65 years and over - With two or more types of health insurance coverage &amp; Other coverage combinations]])/Table1[[#This Row],[Total]]</f>
        <v>0.31212484993997597</v>
      </c>
      <c r="CG76" s="9">
        <f>100%-Table1[[#This Row],[65 years and over - Penetration Rate]]</f>
        <v>0.68787515006002398</v>
      </c>
      <c r="CH76" s="6">
        <v>0</v>
      </c>
      <c r="CI76" s="6"/>
    </row>
    <row r="77" spans="1:87" x14ac:dyDescent="0.35">
      <c r="A77" t="s">
        <v>82</v>
      </c>
      <c r="B77">
        <v>76</v>
      </c>
      <c r="C77" s="5">
        <v>2363</v>
      </c>
      <c r="D77" s="5">
        <v>743</v>
      </c>
      <c r="E77" s="5">
        <f>SUM(Table1[[#This Row],[Under 18 years - With one type of health insurance coverage]:[Under 18 years - With two or more types of health insurance coverage &amp; Other coverage combinations]])</f>
        <v>1462</v>
      </c>
      <c r="F77" s="6">
        <v>676</v>
      </c>
      <c r="G77" s="6">
        <v>85</v>
      </c>
      <c r="H77" s="6">
        <v>16</v>
      </c>
      <c r="I77" s="6">
        <v>0</v>
      </c>
      <c r="J77" s="6">
        <v>563</v>
      </c>
      <c r="K77" s="6">
        <v>12</v>
      </c>
      <c r="L77" s="6">
        <v>0</v>
      </c>
      <c r="M77" s="6">
        <v>55</v>
      </c>
      <c r="N77" s="6">
        <v>8</v>
      </c>
      <c r="O77" s="6">
        <v>0</v>
      </c>
      <c r="P77" s="6">
        <v>10</v>
      </c>
      <c r="Q77" s="6">
        <v>0</v>
      </c>
      <c r="R77" s="6">
        <v>0</v>
      </c>
      <c r="S77" s="6">
        <v>37</v>
      </c>
      <c r="T77" s="9">
        <f>SUM(Table1[[#This Row],[Under 18 years - With one type of health insurance coverage]:[Under 18 years - With two or more types of health insurance coverage &amp; Other coverage combinations]])/Table1[[#This Row],[Total]]</f>
        <v>0.61870503597122306</v>
      </c>
      <c r="U77" s="9">
        <f>100%-Table1[[#This Row],[Under 18 years - Penetration Rate]]</f>
        <v>0.38129496402877694</v>
      </c>
      <c r="V77" s="6">
        <v>12</v>
      </c>
      <c r="W77" s="6">
        <v>505</v>
      </c>
      <c r="X77" s="6">
        <f>SUM(Table1[[#This Row],[18 to 34 years - With one type of health insurance coverage]:[18 to 34 years - With two or more types of health insurance coverage &amp; Other coverage combinations]])</f>
        <v>934</v>
      </c>
      <c r="Y77" s="9">
        <f>(Table1[[#This Row],[18 to 34 years]] - Table1[[#This Row],[18 to 34 years - No health insurance coverage]]) / Table1[[#This Row],[18 to 34 years]]</f>
        <v>0.9247524752475248</v>
      </c>
      <c r="Z77" s="9">
        <f>IFERROR(Table1[[#This Row],[Coverage Rate ( 18 to 34 years )]], 0)</f>
        <v>0.9247524752475248</v>
      </c>
      <c r="AA77" s="6">
        <v>420</v>
      </c>
      <c r="AB77" s="6">
        <v>160</v>
      </c>
      <c r="AC77" s="6">
        <v>18</v>
      </c>
      <c r="AD77" s="6">
        <v>0</v>
      </c>
      <c r="AE77" s="6">
        <v>242</v>
      </c>
      <c r="AF77" s="6">
        <v>0</v>
      </c>
      <c r="AG77" s="6">
        <v>0</v>
      </c>
      <c r="AH77" s="6">
        <v>47</v>
      </c>
      <c r="AI77" s="6">
        <v>8</v>
      </c>
      <c r="AJ77" s="6">
        <v>0</v>
      </c>
      <c r="AK77" s="6">
        <v>0</v>
      </c>
      <c r="AL77" s="6">
        <v>0</v>
      </c>
      <c r="AM77" s="6">
        <v>7</v>
      </c>
      <c r="AN77" s="6">
        <v>32</v>
      </c>
      <c r="AO77" s="9">
        <f>SUM(Table1[[#This Row],[18 to 34 years - With one type of health insurance coverage]:[18 to 34 years - With two or more types of health insurance coverage &amp; Other coverage combinations]])/Table1[[#This Row],[Total]]</f>
        <v>0.39526026237833262</v>
      </c>
      <c r="AP77" s="9">
        <f>100%-Table1[[#This Row],[18 to 34 years - Penetration rate]]</f>
        <v>0.60473973762166744</v>
      </c>
      <c r="AQ77" s="6">
        <v>38</v>
      </c>
      <c r="AR77" s="6">
        <v>781</v>
      </c>
      <c r="AS77" s="6">
        <f>SUM(Table1[[#This Row],[35 to 64 years - With one type of health insurance coverage]:[35 to 64 years - With two or more types of health insurance coverage &amp; Other coverage combinations]])</f>
        <v>1280</v>
      </c>
      <c r="AT77" s="9">
        <f>(Table1[[#This Row],[35 to 64 years]]-Table1[[#This Row],[35 to 64 years - No health insurance coverage]])/Table1[[#This Row],[35 to 64 years]]</f>
        <v>0.81946222791293211</v>
      </c>
      <c r="AU77" s="9">
        <f>IFERROR(Table1[[#This Row],[Coverage Rate ( 35 to 64 years )]], 0)</f>
        <v>0.81946222791293211</v>
      </c>
      <c r="AV77" s="6">
        <v>580</v>
      </c>
      <c r="AW77" s="6">
        <v>466</v>
      </c>
      <c r="AX77" s="6">
        <v>58</v>
      </c>
      <c r="AY77" s="6">
        <v>6</v>
      </c>
      <c r="AZ77" s="6">
        <v>39</v>
      </c>
      <c r="BA77" s="6">
        <v>11</v>
      </c>
      <c r="BB77" s="6">
        <v>0</v>
      </c>
      <c r="BC77" s="6">
        <v>60</v>
      </c>
      <c r="BD77" s="6">
        <v>8</v>
      </c>
      <c r="BE77" s="6">
        <v>7</v>
      </c>
      <c r="BF77" s="6">
        <v>27</v>
      </c>
      <c r="BG77" s="6">
        <v>9</v>
      </c>
      <c r="BH77" s="6">
        <v>0</v>
      </c>
      <c r="BI77" s="6">
        <v>0</v>
      </c>
      <c r="BJ77" s="6">
        <v>9</v>
      </c>
      <c r="BK77" s="9">
        <f>SUM(Table1[[#This Row],[35 to 64 years - With one type of health insurance coverage]:[35 to 64 years - With two or more types of health insurance coverage &amp; Other coverage combinations]])/Table1[[#This Row],[Total]]</f>
        <v>0.54168429961912823</v>
      </c>
      <c r="BL77" s="9">
        <f>100%-Table1[[#This Row],[35 to 64 years - Penetration Rate]]</f>
        <v>0.45831570038087177</v>
      </c>
      <c r="BM77" s="6">
        <v>141</v>
      </c>
      <c r="BN77" s="6">
        <v>334</v>
      </c>
      <c r="BO77" s="6">
        <f>SUM(Table1[[#This Row],[65 years and over - With one type of health insurance coverage]:[65 years and over - With two or more types of health insurance coverage &amp; Other coverage combinations]])</f>
        <v>668</v>
      </c>
      <c r="BP77" s="9">
        <f>(Table1[[#This Row],[65 years and over]]-Table1[[#This Row],[65 years and over - No health insurance coverage]])/Table1[[#This Row],[65 years and over]]</f>
        <v>1</v>
      </c>
      <c r="BQ77" s="9">
        <f>IFERROR(Table1[[#This Row],[Coverage Rate ( 65 years and over )]], 0)</f>
        <v>1</v>
      </c>
      <c r="BR77" s="6">
        <v>44</v>
      </c>
      <c r="BS77" s="6">
        <v>27</v>
      </c>
      <c r="BT77" s="6">
        <v>0</v>
      </c>
      <c r="BU77" s="6">
        <v>17</v>
      </c>
      <c r="BV77" s="6">
        <v>0</v>
      </c>
      <c r="BW77" s="6">
        <v>0</v>
      </c>
      <c r="BX77" s="6">
        <v>290</v>
      </c>
      <c r="BY77" s="6">
        <v>0</v>
      </c>
      <c r="BZ77" s="6">
        <v>46</v>
      </c>
      <c r="CA77" s="6">
        <v>86</v>
      </c>
      <c r="CB77" s="6">
        <v>39</v>
      </c>
      <c r="CC77" s="6">
        <v>0</v>
      </c>
      <c r="CD77" s="6">
        <v>17</v>
      </c>
      <c r="CE77" s="6">
        <v>102</v>
      </c>
      <c r="CF77" s="9">
        <f>SUM(Table1[[#This Row],[65 years and over - With one type of health insurance coverage]:[65 years and over - With two or more types of health insurance coverage &amp; Other coverage combinations]])/Table1[[#This Row],[Total]]</f>
        <v>0.28269149386373255</v>
      </c>
      <c r="CG77" s="9">
        <f>100%-Table1[[#This Row],[65 years and over - Penetration Rate]]</f>
        <v>0.7173085061362674</v>
      </c>
      <c r="CH77" s="6">
        <v>0</v>
      </c>
      <c r="CI77" s="6"/>
    </row>
    <row r="78" spans="1:87" x14ac:dyDescent="0.35">
      <c r="A78" t="s">
        <v>83</v>
      </c>
      <c r="B78">
        <v>77</v>
      </c>
      <c r="C78" s="5">
        <v>11329</v>
      </c>
      <c r="D78" s="5">
        <v>1519</v>
      </c>
      <c r="E78" s="5">
        <f>SUM(Table1[[#This Row],[Under 18 years - With one type of health insurance coverage]:[Under 18 years - With two or more types of health insurance coverage &amp; Other coverage combinations]])</f>
        <v>3014</v>
      </c>
      <c r="F78" s="6">
        <v>1446</v>
      </c>
      <c r="G78" s="6">
        <v>1234</v>
      </c>
      <c r="H78" s="6">
        <v>88</v>
      </c>
      <c r="I78" s="6">
        <v>0</v>
      </c>
      <c r="J78" s="6">
        <v>115</v>
      </c>
      <c r="K78" s="6">
        <v>9</v>
      </c>
      <c r="L78" s="6">
        <v>0</v>
      </c>
      <c r="M78" s="6">
        <v>61</v>
      </c>
      <c r="N78" s="6">
        <v>25</v>
      </c>
      <c r="O78" s="6">
        <v>0</v>
      </c>
      <c r="P78" s="6">
        <v>0</v>
      </c>
      <c r="Q78" s="6">
        <v>10</v>
      </c>
      <c r="R78" s="6">
        <v>0</v>
      </c>
      <c r="S78" s="6">
        <v>26</v>
      </c>
      <c r="T78" s="9">
        <f>SUM(Table1[[#This Row],[Under 18 years - With one type of health insurance coverage]:[Under 18 years - With two or more types of health insurance coverage &amp; Other coverage combinations]])/Table1[[#This Row],[Total]]</f>
        <v>0.26604289875540649</v>
      </c>
      <c r="U78" s="9">
        <f>100%-Table1[[#This Row],[Under 18 years - Penetration Rate]]</f>
        <v>0.73395710124459357</v>
      </c>
      <c r="V78" s="6">
        <v>12</v>
      </c>
      <c r="W78" s="6">
        <v>5770</v>
      </c>
      <c r="X78" s="6">
        <f>SUM(Table1[[#This Row],[18 to 34 years - With one type of health insurance coverage]:[18 to 34 years - With two or more types of health insurance coverage &amp; Other coverage combinations]])</f>
        <v>11066</v>
      </c>
      <c r="Y78" s="9">
        <f>(Table1[[#This Row],[18 to 34 years]] - Table1[[#This Row],[18 to 34 years - No health insurance coverage]]) / Table1[[#This Row],[18 to 34 years]]</f>
        <v>0.95892547660311955</v>
      </c>
      <c r="Z78" s="9">
        <f>IFERROR(Table1[[#This Row],[Coverage Rate ( 18 to 34 years )]], 0)</f>
        <v>0.95892547660311955</v>
      </c>
      <c r="AA78" s="6">
        <v>5248</v>
      </c>
      <c r="AB78" s="6">
        <v>3682</v>
      </c>
      <c r="AC78" s="6">
        <v>1391</v>
      </c>
      <c r="AD78" s="6">
        <v>0</v>
      </c>
      <c r="AE78" s="6">
        <v>174</v>
      </c>
      <c r="AF78" s="6">
        <v>1</v>
      </c>
      <c r="AG78" s="6">
        <v>0</v>
      </c>
      <c r="AH78" s="6">
        <v>285</v>
      </c>
      <c r="AI78" s="6">
        <v>220</v>
      </c>
      <c r="AJ78" s="6">
        <v>9</v>
      </c>
      <c r="AK78" s="6">
        <v>0</v>
      </c>
      <c r="AL78" s="6">
        <v>22</v>
      </c>
      <c r="AM78" s="6">
        <v>0</v>
      </c>
      <c r="AN78" s="6">
        <v>34</v>
      </c>
      <c r="AO78" s="9">
        <f>SUM(Table1[[#This Row],[18 to 34 years - With one type of health insurance coverage]:[18 to 34 years - With two or more types of health insurance coverage &amp; Other coverage combinations]])/Table1[[#This Row],[Total]]</f>
        <v>0.97678524141583545</v>
      </c>
      <c r="AP78" s="9">
        <f>100%-Table1[[#This Row],[18 to 34 years - Penetration rate]]</f>
        <v>2.3214758584164552E-2</v>
      </c>
      <c r="AQ78" s="6">
        <v>237</v>
      </c>
      <c r="AR78" s="6">
        <v>2599</v>
      </c>
      <c r="AS78" s="6">
        <f>SUM(Table1[[#This Row],[35 to 64 years - With one type of health insurance coverage]:[35 to 64 years - With two or more types of health insurance coverage &amp; Other coverage combinations]])</f>
        <v>4962</v>
      </c>
      <c r="AT78" s="9">
        <f>(Table1[[#This Row],[35 to 64 years]]-Table1[[#This Row],[35 to 64 years - No health insurance coverage]])/Table1[[#This Row],[35 to 64 years]]</f>
        <v>0.95459792227779916</v>
      </c>
      <c r="AU78" s="9">
        <f>IFERROR(Table1[[#This Row],[Coverage Rate ( 35 to 64 years )]], 0)</f>
        <v>0.95459792227779916</v>
      </c>
      <c r="AV78" s="6">
        <v>2351</v>
      </c>
      <c r="AW78" s="6">
        <v>2012</v>
      </c>
      <c r="AX78" s="6">
        <v>273</v>
      </c>
      <c r="AY78" s="6">
        <v>9</v>
      </c>
      <c r="AZ78" s="6">
        <v>39</v>
      </c>
      <c r="BA78" s="6">
        <v>18</v>
      </c>
      <c r="BB78" s="6">
        <v>0</v>
      </c>
      <c r="BC78" s="6">
        <v>130</v>
      </c>
      <c r="BD78" s="6">
        <v>66</v>
      </c>
      <c r="BE78" s="6">
        <v>0</v>
      </c>
      <c r="BF78" s="6">
        <v>0</v>
      </c>
      <c r="BG78" s="6">
        <v>12</v>
      </c>
      <c r="BH78" s="6">
        <v>0</v>
      </c>
      <c r="BI78" s="6">
        <v>0</v>
      </c>
      <c r="BJ78" s="6">
        <v>52</v>
      </c>
      <c r="BK78" s="9">
        <f>SUM(Table1[[#This Row],[35 to 64 years - With one type of health insurance coverage]:[35 to 64 years - With two or more types of health insurance coverage &amp; Other coverage combinations]])/Table1[[#This Row],[Total]]</f>
        <v>0.43799099655750728</v>
      </c>
      <c r="BL78" s="9">
        <f>100%-Table1[[#This Row],[35 to 64 years - Penetration Rate]]</f>
        <v>0.56200900344249272</v>
      </c>
      <c r="BM78" s="6">
        <v>118</v>
      </c>
      <c r="BN78" s="6">
        <v>1441</v>
      </c>
      <c r="BO78" s="6">
        <f>SUM(Table1[[#This Row],[65 years and over - With one type of health insurance coverage]:[65 years and over - With two or more types of health insurance coverage &amp; Other coverage combinations]])</f>
        <v>2882</v>
      </c>
      <c r="BP78" s="9">
        <f>(Table1[[#This Row],[65 years and over]]-Table1[[#This Row],[65 years and over - No health insurance coverage]])/Table1[[#This Row],[65 years and over]]</f>
        <v>1</v>
      </c>
      <c r="BQ78" s="9">
        <f>IFERROR(Table1[[#This Row],[Coverage Rate ( 65 years and over )]], 0)</f>
        <v>1</v>
      </c>
      <c r="BR78" s="6">
        <v>311</v>
      </c>
      <c r="BS78" s="6">
        <v>58</v>
      </c>
      <c r="BT78" s="6">
        <v>43</v>
      </c>
      <c r="BU78" s="6">
        <v>210</v>
      </c>
      <c r="BV78" s="6">
        <v>0</v>
      </c>
      <c r="BW78" s="6">
        <v>0</v>
      </c>
      <c r="BX78" s="6">
        <v>1130</v>
      </c>
      <c r="BY78" s="6">
        <v>0</v>
      </c>
      <c r="BZ78" s="6">
        <v>430</v>
      </c>
      <c r="CA78" s="6">
        <v>342</v>
      </c>
      <c r="CB78" s="6">
        <v>13</v>
      </c>
      <c r="CC78" s="6">
        <v>8</v>
      </c>
      <c r="CD78" s="6">
        <v>11</v>
      </c>
      <c r="CE78" s="6">
        <v>326</v>
      </c>
      <c r="CF78" s="9">
        <f>SUM(Table1[[#This Row],[65 years and over - With one type of health insurance coverage]:[65 years and over - With two or more types of health insurance coverage &amp; Other coverage combinations]])/Table1[[#This Row],[Total]]</f>
        <v>0.25439138494130109</v>
      </c>
      <c r="CG78" s="9">
        <f>100%-Table1[[#This Row],[65 years and over - Penetration Rate]]</f>
        <v>0.74560861505869891</v>
      </c>
      <c r="CH78" s="6">
        <v>0</v>
      </c>
      <c r="CI78" s="6"/>
    </row>
    <row r="79" spans="1:87" x14ac:dyDescent="0.35">
      <c r="A79" t="s">
        <v>84</v>
      </c>
      <c r="B79">
        <v>78</v>
      </c>
      <c r="C79" s="5">
        <v>15494</v>
      </c>
      <c r="D79" s="5">
        <v>2587</v>
      </c>
      <c r="E79" s="5">
        <f>SUM(Table1[[#This Row],[Under 18 years - With one type of health insurance coverage]:[Under 18 years - With two or more types of health insurance coverage &amp; Other coverage combinations]])</f>
        <v>5066</v>
      </c>
      <c r="F79" s="6">
        <v>2415</v>
      </c>
      <c r="G79" s="6">
        <v>1938</v>
      </c>
      <c r="H79" s="6">
        <v>210</v>
      </c>
      <c r="I79" s="6">
        <v>0</v>
      </c>
      <c r="J79" s="6">
        <v>267</v>
      </c>
      <c r="K79" s="6">
        <v>0</v>
      </c>
      <c r="L79" s="6">
        <v>0</v>
      </c>
      <c r="M79" s="6">
        <v>118</v>
      </c>
      <c r="N79" s="6">
        <v>0</v>
      </c>
      <c r="O79" s="6">
        <v>0</v>
      </c>
      <c r="P79" s="6">
        <v>0</v>
      </c>
      <c r="Q79" s="6">
        <v>0</v>
      </c>
      <c r="R79" s="6">
        <v>0</v>
      </c>
      <c r="S79" s="6">
        <v>118</v>
      </c>
      <c r="T79" s="9">
        <f>SUM(Table1[[#This Row],[Under 18 years - With one type of health insurance coverage]:[Under 18 years - With two or more types of health insurance coverage &amp; Other coverage combinations]])/Table1[[#This Row],[Total]]</f>
        <v>0.32696527688137345</v>
      </c>
      <c r="U79" s="9">
        <f>100%-Table1[[#This Row],[Under 18 years - Penetration Rate]]</f>
        <v>0.67303472311862655</v>
      </c>
      <c r="V79" s="6">
        <v>54</v>
      </c>
      <c r="W79" s="6">
        <v>5416</v>
      </c>
      <c r="X79" s="6">
        <f>SUM(Table1[[#This Row],[18 to 34 years - With one type of health insurance coverage]:[18 to 34 years - With two or more types of health insurance coverage &amp; Other coverage combinations]])</f>
        <v>9914</v>
      </c>
      <c r="Y79" s="9">
        <f>(Table1[[#This Row],[18 to 34 years]] - Table1[[#This Row],[18 to 34 years - No health insurance coverage]]) / Table1[[#This Row],[18 to 34 years]]</f>
        <v>0.91525110782865582</v>
      </c>
      <c r="Z79" s="9">
        <f>IFERROR(Table1[[#This Row],[Coverage Rate ( 18 to 34 years )]], 0)</f>
        <v>0.91525110782865582</v>
      </c>
      <c r="AA79" s="6">
        <v>4641</v>
      </c>
      <c r="AB79" s="6">
        <v>3549</v>
      </c>
      <c r="AC79" s="6">
        <v>1019</v>
      </c>
      <c r="AD79" s="6">
        <v>0</v>
      </c>
      <c r="AE79" s="6">
        <v>53</v>
      </c>
      <c r="AF79" s="6">
        <v>20</v>
      </c>
      <c r="AG79" s="6">
        <v>0</v>
      </c>
      <c r="AH79" s="6">
        <v>316</v>
      </c>
      <c r="AI79" s="6">
        <v>184</v>
      </c>
      <c r="AJ79" s="6">
        <v>0</v>
      </c>
      <c r="AK79" s="6">
        <v>0</v>
      </c>
      <c r="AL79" s="6">
        <v>0</v>
      </c>
      <c r="AM79" s="6">
        <v>0</v>
      </c>
      <c r="AN79" s="6">
        <v>132</v>
      </c>
      <c r="AO79" s="9">
        <f>SUM(Table1[[#This Row],[18 to 34 years - With one type of health insurance coverage]:[18 to 34 years - With two or more types of health insurance coverage &amp; Other coverage combinations]])/Table1[[#This Row],[Total]]</f>
        <v>0.63986059119659222</v>
      </c>
      <c r="AP79" s="9">
        <f>100%-Table1[[#This Row],[18 to 34 years - Penetration rate]]</f>
        <v>0.36013940880340778</v>
      </c>
      <c r="AQ79" s="6">
        <v>459</v>
      </c>
      <c r="AR79" s="6">
        <v>4927</v>
      </c>
      <c r="AS79" s="6">
        <f>SUM(Table1[[#This Row],[35 to 64 years - With one type of health insurance coverage]:[35 to 64 years - With two or more types of health insurance coverage &amp; Other coverage combinations]])</f>
        <v>9076</v>
      </c>
      <c r="AT79" s="9">
        <f>(Table1[[#This Row],[35 to 64 years]]-Table1[[#This Row],[35 to 64 years - No health insurance coverage]])/Table1[[#This Row],[35 to 64 years]]</f>
        <v>0.92104729044043032</v>
      </c>
      <c r="AU79" s="9">
        <f>IFERROR(Table1[[#This Row],[Coverage Rate ( 35 to 64 years )]], 0)</f>
        <v>0.92104729044043032</v>
      </c>
      <c r="AV79" s="6">
        <v>4185</v>
      </c>
      <c r="AW79" s="6">
        <v>3399</v>
      </c>
      <c r="AX79" s="6">
        <v>547</v>
      </c>
      <c r="AY79" s="6">
        <v>127</v>
      </c>
      <c r="AZ79" s="6">
        <v>97</v>
      </c>
      <c r="BA79" s="6">
        <v>15</v>
      </c>
      <c r="BB79" s="6">
        <v>0</v>
      </c>
      <c r="BC79" s="6">
        <v>353</v>
      </c>
      <c r="BD79" s="6">
        <v>44</v>
      </c>
      <c r="BE79" s="6">
        <v>24</v>
      </c>
      <c r="BF79" s="6">
        <v>25</v>
      </c>
      <c r="BG79" s="6">
        <v>74</v>
      </c>
      <c r="BH79" s="6">
        <v>0</v>
      </c>
      <c r="BI79" s="6">
        <v>0</v>
      </c>
      <c r="BJ79" s="6">
        <v>186</v>
      </c>
      <c r="BK79" s="9">
        <f>SUM(Table1[[#This Row],[35 to 64 years - With one type of health insurance coverage]:[35 to 64 years - With two or more types of health insurance coverage &amp; Other coverage combinations]])/Table1[[#This Row],[Total]]</f>
        <v>0.58577513876339227</v>
      </c>
      <c r="BL79" s="9">
        <f>100%-Table1[[#This Row],[35 to 64 years - Penetration Rate]]</f>
        <v>0.41422486123660773</v>
      </c>
      <c r="BM79" s="6">
        <v>389</v>
      </c>
      <c r="BN79" s="6">
        <v>2564</v>
      </c>
      <c r="BO79" s="6">
        <f>SUM(Table1[[#This Row],[65 years and over - With one type of health insurance coverage]:[65 years and over - With two or more types of health insurance coverage &amp; Other coverage combinations]])</f>
        <v>5074</v>
      </c>
      <c r="BP79" s="9">
        <f>(Table1[[#This Row],[65 years and over]]-Table1[[#This Row],[65 years and over - No health insurance coverage]])/Table1[[#This Row],[65 years and over]]</f>
        <v>0.98946957878315134</v>
      </c>
      <c r="BQ79" s="9">
        <f>IFERROR(Table1[[#This Row],[Coverage Rate ( 65 years and over )]], 0)</f>
        <v>0.98946957878315134</v>
      </c>
      <c r="BR79" s="6">
        <v>818</v>
      </c>
      <c r="BS79" s="6">
        <v>159</v>
      </c>
      <c r="BT79" s="6">
        <v>23</v>
      </c>
      <c r="BU79" s="6">
        <v>636</v>
      </c>
      <c r="BV79" s="6">
        <v>0</v>
      </c>
      <c r="BW79" s="6">
        <v>0</v>
      </c>
      <c r="BX79" s="6">
        <v>1719</v>
      </c>
      <c r="BY79" s="6">
        <v>10</v>
      </c>
      <c r="BZ79" s="6">
        <v>415</v>
      </c>
      <c r="CA79" s="6">
        <v>713</v>
      </c>
      <c r="CB79" s="6">
        <v>218</v>
      </c>
      <c r="CC79" s="6">
        <v>0</v>
      </c>
      <c r="CD79" s="6">
        <v>21</v>
      </c>
      <c r="CE79" s="6">
        <v>342</v>
      </c>
      <c r="CF79" s="9">
        <f>SUM(Table1[[#This Row],[65 years and over - With one type of health insurance coverage]:[65 years and over - With two or more types of health insurance coverage &amp; Other coverage combinations]])/Table1[[#This Row],[Total]]</f>
        <v>0.32748160578288371</v>
      </c>
      <c r="CG79" s="9">
        <f>100%-Table1[[#This Row],[65 years and over - Penetration Rate]]</f>
        <v>0.67251839421711623</v>
      </c>
      <c r="CH79" s="6">
        <v>27</v>
      </c>
      <c r="CI79" s="6"/>
    </row>
    <row r="80" spans="1:87" x14ac:dyDescent="0.35">
      <c r="A80" t="s">
        <v>85</v>
      </c>
      <c r="B80">
        <v>79</v>
      </c>
      <c r="C80" s="5">
        <v>270</v>
      </c>
      <c r="D80" s="5">
        <v>84</v>
      </c>
      <c r="E80" s="5">
        <f>SUM(Table1[[#This Row],[Under 18 years - With one type of health insurance coverage]:[Under 18 years - With two or more types of health insurance coverage &amp; Other coverage combinations]])</f>
        <v>168</v>
      </c>
      <c r="F80" s="6">
        <v>84</v>
      </c>
      <c r="G80" s="6">
        <v>8</v>
      </c>
      <c r="H80" s="6">
        <v>0</v>
      </c>
      <c r="I80" s="6">
        <v>0</v>
      </c>
      <c r="J80" s="6">
        <v>76</v>
      </c>
      <c r="K80" s="6">
        <v>0</v>
      </c>
      <c r="L80" s="6">
        <v>0</v>
      </c>
      <c r="M80" s="6">
        <v>0</v>
      </c>
      <c r="N80" s="6">
        <v>0</v>
      </c>
      <c r="O80" s="6">
        <v>0</v>
      </c>
      <c r="P80" s="6">
        <v>0</v>
      </c>
      <c r="Q80" s="6">
        <v>0</v>
      </c>
      <c r="R80" s="6">
        <v>0</v>
      </c>
      <c r="S80" s="6">
        <v>0</v>
      </c>
      <c r="T80" s="9">
        <f>SUM(Table1[[#This Row],[Under 18 years - With one type of health insurance coverage]:[Under 18 years - With two or more types of health insurance coverage &amp; Other coverage combinations]])/Table1[[#This Row],[Total]]</f>
        <v>0.62222222222222223</v>
      </c>
      <c r="U80" s="9">
        <f>100%-Table1[[#This Row],[Under 18 years - Penetration Rate]]</f>
        <v>0.37777777777777777</v>
      </c>
      <c r="V80" s="6">
        <v>0</v>
      </c>
      <c r="W80" s="6">
        <v>67</v>
      </c>
      <c r="X80" s="6">
        <f>SUM(Table1[[#This Row],[18 to 34 years - With one type of health insurance coverage]:[18 to 34 years - With two or more types of health insurance coverage &amp; Other coverage combinations]])</f>
        <v>134</v>
      </c>
      <c r="Y80" s="9">
        <f>(Table1[[#This Row],[18 to 34 years]] - Table1[[#This Row],[18 to 34 years - No health insurance coverage]]) / Table1[[#This Row],[18 to 34 years]]</f>
        <v>1</v>
      </c>
      <c r="Z80" s="9">
        <f>IFERROR(Table1[[#This Row],[Coverage Rate ( 18 to 34 years )]], 0)</f>
        <v>1</v>
      </c>
      <c r="AA80" s="6">
        <v>58</v>
      </c>
      <c r="AB80" s="6">
        <v>25</v>
      </c>
      <c r="AC80" s="6">
        <v>4</v>
      </c>
      <c r="AD80" s="6">
        <v>0</v>
      </c>
      <c r="AE80" s="6">
        <v>29</v>
      </c>
      <c r="AF80" s="6">
        <v>0</v>
      </c>
      <c r="AG80" s="6">
        <v>0</v>
      </c>
      <c r="AH80" s="6">
        <v>9</v>
      </c>
      <c r="AI80" s="6">
        <v>0</v>
      </c>
      <c r="AJ80" s="6">
        <v>0</v>
      </c>
      <c r="AK80" s="6">
        <v>0</v>
      </c>
      <c r="AL80" s="6">
        <v>0</v>
      </c>
      <c r="AM80" s="6">
        <v>0</v>
      </c>
      <c r="AN80" s="6">
        <v>9</v>
      </c>
      <c r="AO80" s="9">
        <f>SUM(Table1[[#This Row],[18 to 34 years - With one type of health insurance coverage]:[18 to 34 years - With two or more types of health insurance coverage &amp; Other coverage combinations]])/Table1[[#This Row],[Total]]</f>
        <v>0.49629629629629629</v>
      </c>
      <c r="AP80" s="9">
        <f>100%-Table1[[#This Row],[18 to 34 years - Penetration rate]]</f>
        <v>0.50370370370370376</v>
      </c>
      <c r="AQ80" s="6">
        <v>0</v>
      </c>
      <c r="AR80" s="6">
        <v>111</v>
      </c>
      <c r="AS80" s="6">
        <f>SUM(Table1[[#This Row],[35 to 64 years - With one type of health insurance coverage]:[35 to 64 years - With two or more types of health insurance coverage &amp; Other coverage combinations]])</f>
        <v>162</v>
      </c>
      <c r="AT80" s="9">
        <f>(Table1[[#This Row],[35 to 64 years]]-Table1[[#This Row],[35 to 64 years - No health insurance coverage]])/Table1[[#This Row],[35 to 64 years]]</f>
        <v>0.72972972972972971</v>
      </c>
      <c r="AU80" s="9">
        <f>IFERROR(Table1[[#This Row],[Coverage Rate ( 35 to 64 years )]], 0)</f>
        <v>0.72972972972972971</v>
      </c>
      <c r="AV80" s="6">
        <v>64</v>
      </c>
      <c r="AW80" s="6">
        <v>60</v>
      </c>
      <c r="AX80" s="6">
        <v>0</v>
      </c>
      <c r="AY80" s="6">
        <v>0</v>
      </c>
      <c r="AZ80" s="6">
        <v>4</v>
      </c>
      <c r="BA80" s="6">
        <v>0</v>
      </c>
      <c r="BB80" s="6">
        <v>0</v>
      </c>
      <c r="BC80" s="6">
        <v>17</v>
      </c>
      <c r="BD80" s="6">
        <v>5</v>
      </c>
      <c r="BE80" s="6">
        <v>0</v>
      </c>
      <c r="BF80" s="6">
        <v>0</v>
      </c>
      <c r="BG80" s="6">
        <v>8</v>
      </c>
      <c r="BH80" s="6">
        <v>0</v>
      </c>
      <c r="BI80" s="6">
        <v>0</v>
      </c>
      <c r="BJ80" s="6">
        <v>4</v>
      </c>
      <c r="BK80" s="9">
        <f>SUM(Table1[[#This Row],[35 to 64 years - With one type of health insurance coverage]:[35 to 64 years - With two or more types of health insurance coverage &amp; Other coverage combinations]])/Table1[[#This Row],[Total]]</f>
        <v>0.6</v>
      </c>
      <c r="BL80" s="9">
        <f>100%-Table1[[#This Row],[35 to 64 years - Penetration Rate]]</f>
        <v>0.4</v>
      </c>
      <c r="BM80" s="6">
        <v>30</v>
      </c>
      <c r="BN80" s="6">
        <v>8</v>
      </c>
      <c r="BO80" s="6">
        <f>SUM(Table1[[#This Row],[65 years and over - With one type of health insurance coverage]:[65 years and over - With two or more types of health insurance coverage &amp; Other coverage combinations]])</f>
        <v>16</v>
      </c>
      <c r="BP80" s="9">
        <f>(Table1[[#This Row],[65 years and over]]-Table1[[#This Row],[65 years and over - No health insurance coverage]])/Table1[[#This Row],[65 years and over]]</f>
        <v>1</v>
      </c>
      <c r="BQ80" s="9">
        <f>IFERROR(Table1[[#This Row],[Coverage Rate ( 65 years and over )]], 0)</f>
        <v>1</v>
      </c>
      <c r="BR80" s="6">
        <v>0</v>
      </c>
      <c r="BS80" s="6">
        <v>0</v>
      </c>
      <c r="BT80" s="6">
        <v>0</v>
      </c>
      <c r="BU80" s="6">
        <v>0</v>
      </c>
      <c r="BV80" s="6">
        <v>0</v>
      </c>
      <c r="BW80" s="6">
        <v>0</v>
      </c>
      <c r="BX80" s="6">
        <v>8</v>
      </c>
      <c r="BY80" s="6">
        <v>0</v>
      </c>
      <c r="BZ80" s="6">
        <v>0</v>
      </c>
      <c r="CA80" s="6">
        <v>0</v>
      </c>
      <c r="CB80" s="6">
        <v>0</v>
      </c>
      <c r="CC80" s="6">
        <v>0</v>
      </c>
      <c r="CD80" s="6">
        <v>0</v>
      </c>
      <c r="CE80" s="6">
        <v>8</v>
      </c>
      <c r="CF80" s="9">
        <f>SUM(Table1[[#This Row],[65 years and over - With one type of health insurance coverage]:[65 years and over - With two or more types of health insurance coverage &amp; Other coverage combinations]])/Table1[[#This Row],[Total]]</f>
        <v>5.9259259259259262E-2</v>
      </c>
      <c r="CG80" s="9">
        <f>100%-Table1[[#This Row],[65 years and over - Penetration Rate]]</f>
        <v>0.94074074074074077</v>
      </c>
      <c r="CH80" s="6">
        <v>0</v>
      </c>
      <c r="CI80" s="6"/>
    </row>
    <row r="81" spans="1:87" x14ac:dyDescent="0.35">
      <c r="A81" t="s">
        <v>86</v>
      </c>
      <c r="B81">
        <v>80</v>
      </c>
      <c r="C81" s="5">
        <v>4713</v>
      </c>
      <c r="D81" s="5">
        <v>866</v>
      </c>
      <c r="E81" s="5">
        <f>SUM(Table1[[#This Row],[Under 18 years - With one type of health insurance coverage]:[Under 18 years - With two or more types of health insurance coverage &amp; Other coverage combinations]])</f>
        <v>1626</v>
      </c>
      <c r="F81" s="6">
        <v>742</v>
      </c>
      <c r="G81" s="6">
        <v>442</v>
      </c>
      <c r="H81" s="6">
        <v>43</v>
      </c>
      <c r="I81" s="6">
        <v>0</v>
      </c>
      <c r="J81" s="6">
        <v>257</v>
      </c>
      <c r="K81" s="6">
        <v>0</v>
      </c>
      <c r="L81" s="6">
        <v>0</v>
      </c>
      <c r="M81" s="6">
        <v>71</v>
      </c>
      <c r="N81" s="6">
        <v>11</v>
      </c>
      <c r="O81" s="6">
        <v>0</v>
      </c>
      <c r="P81" s="6">
        <v>0</v>
      </c>
      <c r="Q81" s="6">
        <v>0</v>
      </c>
      <c r="R81" s="6">
        <v>0</v>
      </c>
      <c r="S81" s="6">
        <v>60</v>
      </c>
      <c r="T81" s="9">
        <f>SUM(Table1[[#This Row],[Under 18 years - With one type of health insurance coverage]:[Under 18 years - With two or more types of health insurance coverage &amp; Other coverage combinations]])/Table1[[#This Row],[Total]]</f>
        <v>0.34500318268618713</v>
      </c>
      <c r="U81" s="9">
        <f>100%-Table1[[#This Row],[Under 18 years - Penetration Rate]]</f>
        <v>0.65499681731381287</v>
      </c>
      <c r="V81" s="6">
        <v>53</v>
      </c>
      <c r="W81" s="6">
        <v>1053</v>
      </c>
      <c r="X81" s="6">
        <f>SUM(Table1[[#This Row],[18 to 34 years - With one type of health insurance coverage]:[18 to 34 years - With two or more types of health insurance coverage &amp; Other coverage combinations]])</f>
        <v>1934</v>
      </c>
      <c r="Y81" s="9">
        <f>(Table1[[#This Row],[18 to 34 years]] - Table1[[#This Row],[18 to 34 years - No health insurance coverage]]) / Table1[[#This Row],[18 to 34 years]]</f>
        <v>0.91832858499525161</v>
      </c>
      <c r="Z81" s="9">
        <f>IFERROR(Table1[[#This Row],[Coverage Rate ( 18 to 34 years )]], 0)</f>
        <v>0.91832858499525161</v>
      </c>
      <c r="AA81" s="6">
        <v>939</v>
      </c>
      <c r="AB81" s="6">
        <v>777</v>
      </c>
      <c r="AC81" s="6">
        <v>84</v>
      </c>
      <c r="AD81" s="6">
        <v>10</v>
      </c>
      <c r="AE81" s="6">
        <v>68</v>
      </c>
      <c r="AF81" s="6">
        <v>0</v>
      </c>
      <c r="AG81" s="6">
        <v>0</v>
      </c>
      <c r="AH81" s="6">
        <v>28</v>
      </c>
      <c r="AI81" s="6">
        <v>11</v>
      </c>
      <c r="AJ81" s="6">
        <v>0</v>
      </c>
      <c r="AK81" s="6">
        <v>9</v>
      </c>
      <c r="AL81" s="6">
        <v>0</v>
      </c>
      <c r="AM81" s="6">
        <v>0</v>
      </c>
      <c r="AN81" s="6">
        <v>8</v>
      </c>
      <c r="AO81" s="9">
        <f>SUM(Table1[[#This Row],[18 to 34 years - With one type of health insurance coverage]:[18 to 34 years - With two or more types of health insurance coverage &amp; Other coverage combinations]])/Table1[[#This Row],[Total]]</f>
        <v>0.41035433906216845</v>
      </c>
      <c r="AP81" s="9">
        <f>100%-Table1[[#This Row],[18 to 34 years - Penetration rate]]</f>
        <v>0.58964566093783155</v>
      </c>
      <c r="AQ81" s="6">
        <v>86</v>
      </c>
      <c r="AR81" s="6">
        <v>1944</v>
      </c>
      <c r="AS81" s="6">
        <f>SUM(Table1[[#This Row],[35 to 64 years - With one type of health insurance coverage]:[35 to 64 years - With two or more types of health insurance coverage &amp; Other coverage combinations]])</f>
        <v>3612</v>
      </c>
      <c r="AT81" s="9">
        <f>(Table1[[#This Row],[35 to 64 years]]-Table1[[#This Row],[35 to 64 years - No health insurance coverage]])/Table1[[#This Row],[35 to 64 years]]</f>
        <v>0.92901234567901236</v>
      </c>
      <c r="AU81" s="9">
        <f>IFERROR(Table1[[#This Row],[Coverage Rate ( 35 to 64 years )]], 0)</f>
        <v>0.92901234567901236</v>
      </c>
      <c r="AV81" s="6">
        <v>1560</v>
      </c>
      <c r="AW81" s="6">
        <v>1328</v>
      </c>
      <c r="AX81" s="6">
        <v>129</v>
      </c>
      <c r="AY81" s="6">
        <v>26</v>
      </c>
      <c r="AZ81" s="6">
        <v>68</v>
      </c>
      <c r="BA81" s="6">
        <v>0</v>
      </c>
      <c r="BB81" s="6">
        <v>9</v>
      </c>
      <c r="BC81" s="6">
        <v>246</v>
      </c>
      <c r="BD81" s="6">
        <v>63</v>
      </c>
      <c r="BE81" s="6">
        <v>6</v>
      </c>
      <c r="BF81" s="6">
        <v>26</v>
      </c>
      <c r="BG81" s="6">
        <v>45</v>
      </c>
      <c r="BH81" s="6">
        <v>0</v>
      </c>
      <c r="BI81" s="6">
        <v>10</v>
      </c>
      <c r="BJ81" s="6">
        <v>96</v>
      </c>
      <c r="BK81" s="9">
        <f>SUM(Table1[[#This Row],[35 to 64 years - With one type of health insurance coverage]:[35 to 64 years - With two or more types of health insurance coverage &amp; Other coverage combinations]])/Table1[[#This Row],[Total]]</f>
        <v>0.76639083386378104</v>
      </c>
      <c r="BL81" s="9">
        <f>100%-Table1[[#This Row],[35 to 64 years - Penetration Rate]]</f>
        <v>0.23360916613621896</v>
      </c>
      <c r="BM81" s="6">
        <v>138</v>
      </c>
      <c r="BN81" s="6">
        <v>850</v>
      </c>
      <c r="BO81" s="6">
        <f>SUM(Table1[[#This Row],[65 years and over - With one type of health insurance coverage]:[65 years and over - With two or more types of health insurance coverage &amp; Other coverage combinations]])</f>
        <v>1700</v>
      </c>
      <c r="BP81" s="9">
        <f>(Table1[[#This Row],[65 years and over]]-Table1[[#This Row],[65 years and over - No health insurance coverage]])/Table1[[#This Row],[65 years and over]]</f>
        <v>1</v>
      </c>
      <c r="BQ81" s="9">
        <f>IFERROR(Table1[[#This Row],[Coverage Rate ( 65 years and over )]], 0)</f>
        <v>1</v>
      </c>
      <c r="BR81" s="6">
        <v>163</v>
      </c>
      <c r="BS81" s="6">
        <v>44</v>
      </c>
      <c r="BT81" s="6">
        <v>0</v>
      </c>
      <c r="BU81" s="6">
        <v>119</v>
      </c>
      <c r="BV81" s="6">
        <v>0</v>
      </c>
      <c r="BW81" s="6">
        <v>0</v>
      </c>
      <c r="BX81" s="6">
        <v>687</v>
      </c>
      <c r="BY81" s="6">
        <v>0</v>
      </c>
      <c r="BZ81" s="6">
        <v>172</v>
      </c>
      <c r="CA81" s="6">
        <v>229</v>
      </c>
      <c r="CB81" s="6">
        <v>26</v>
      </c>
      <c r="CC81" s="6">
        <v>0</v>
      </c>
      <c r="CD81" s="6">
        <v>5</v>
      </c>
      <c r="CE81" s="6">
        <v>255</v>
      </c>
      <c r="CF81" s="9">
        <f>SUM(Table1[[#This Row],[65 years and over - With one type of health insurance coverage]:[65 years and over - With two or more types of health insurance coverage &amp; Other coverage combinations]])/Table1[[#This Row],[Total]]</f>
        <v>0.36070443454275408</v>
      </c>
      <c r="CG81" s="9">
        <f>100%-Table1[[#This Row],[65 years and over - Penetration Rate]]</f>
        <v>0.63929556545724586</v>
      </c>
      <c r="CH81" s="6">
        <v>0</v>
      </c>
      <c r="CI81" s="6"/>
    </row>
    <row r="82" spans="1:87" x14ac:dyDescent="0.35">
      <c r="A82" t="s">
        <v>87</v>
      </c>
      <c r="B82">
        <v>81</v>
      </c>
      <c r="C82" s="5">
        <v>747</v>
      </c>
      <c r="D82" s="5">
        <v>33</v>
      </c>
      <c r="E82" s="5">
        <f>SUM(Table1[[#This Row],[Under 18 years - With one type of health insurance coverage]:[Under 18 years - With two or more types of health insurance coverage &amp; Other coverage combinations]])</f>
        <v>66</v>
      </c>
      <c r="F82" s="6">
        <v>33</v>
      </c>
      <c r="G82" s="6">
        <v>7</v>
      </c>
      <c r="H82" s="6">
        <v>0</v>
      </c>
      <c r="I82" s="6">
        <v>0</v>
      </c>
      <c r="J82" s="6">
        <v>26</v>
      </c>
      <c r="K82" s="6">
        <v>0</v>
      </c>
      <c r="L82" s="6">
        <v>0</v>
      </c>
      <c r="M82" s="6">
        <v>0</v>
      </c>
      <c r="N82" s="6">
        <v>0</v>
      </c>
      <c r="O82" s="6">
        <v>0</v>
      </c>
      <c r="P82" s="6">
        <v>0</v>
      </c>
      <c r="Q82" s="6">
        <v>0</v>
      </c>
      <c r="R82" s="6">
        <v>0</v>
      </c>
      <c r="S82" s="6">
        <v>0</v>
      </c>
      <c r="T82" s="9">
        <f>SUM(Table1[[#This Row],[Under 18 years - With one type of health insurance coverage]:[Under 18 years - With two or more types of health insurance coverage &amp; Other coverage combinations]])/Table1[[#This Row],[Total]]</f>
        <v>8.8353413654618476E-2</v>
      </c>
      <c r="U82" s="9">
        <f>100%-Table1[[#This Row],[Under 18 years - Penetration Rate]]</f>
        <v>0.91164658634538154</v>
      </c>
      <c r="V82" s="6">
        <v>0</v>
      </c>
      <c r="W82" s="6">
        <v>372</v>
      </c>
      <c r="X82" s="6">
        <f>SUM(Table1[[#This Row],[18 to 34 years - With one type of health insurance coverage]:[18 to 34 years - With two or more types of health insurance coverage &amp; Other coverage combinations]])</f>
        <v>744</v>
      </c>
      <c r="Y82" s="9">
        <f>(Table1[[#This Row],[18 to 34 years]] - Table1[[#This Row],[18 to 34 years - No health insurance coverage]]) / Table1[[#This Row],[18 to 34 years]]</f>
        <v>1</v>
      </c>
      <c r="Z82" s="9">
        <f>IFERROR(Table1[[#This Row],[Coverage Rate ( 18 to 34 years )]], 0)</f>
        <v>1</v>
      </c>
      <c r="AA82" s="6">
        <v>372</v>
      </c>
      <c r="AB82" s="6">
        <v>336</v>
      </c>
      <c r="AC82" s="6">
        <v>32</v>
      </c>
      <c r="AD82" s="6">
        <v>0</v>
      </c>
      <c r="AE82" s="6">
        <v>4</v>
      </c>
      <c r="AF82" s="6">
        <v>0</v>
      </c>
      <c r="AG82" s="6">
        <v>0</v>
      </c>
      <c r="AH82" s="6">
        <v>0</v>
      </c>
      <c r="AI82" s="6">
        <v>0</v>
      </c>
      <c r="AJ82" s="6">
        <v>0</v>
      </c>
      <c r="AK82" s="6">
        <v>0</v>
      </c>
      <c r="AL82" s="6">
        <v>0</v>
      </c>
      <c r="AM82" s="6">
        <v>0</v>
      </c>
      <c r="AN82" s="6">
        <v>0</v>
      </c>
      <c r="AO82" s="9">
        <f>SUM(Table1[[#This Row],[18 to 34 years - With one type of health insurance coverage]:[18 to 34 years - With two or more types of health insurance coverage &amp; Other coverage combinations]])/Table1[[#This Row],[Total]]</f>
        <v>0.99598393574297184</v>
      </c>
      <c r="AP82" s="9">
        <f>100%-Table1[[#This Row],[18 to 34 years - Penetration rate]]</f>
        <v>4.0160642570281624E-3</v>
      </c>
      <c r="AQ82" s="6">
        <v>0</v>
      </c>
      <c r="AR82" s="6">
        <v>287</v>
      </c>
      <c r="AS82" s="6">
        <f>SUM(Table1[[#This Row],[35 to 64 years - With one type of health insurance coverage]:[35 to 64 years - With two or more types of health insurance coverage &amp; Other coverage combinations]])</f>
        <v>524</v>
      </c>
      <c r="AT82" s="9">
        <f>(Table1[[#This Row],[35 to 64 years]]-Table1[[#This Row],[35 to 64 years - No health insurance coverage]])/Table1[[#This Row],[35 to 64 years]]</f>
        <v>0.91289198606271782</v>
      </c>
      <c r="AU82" s="9">
        <f>IFERROR(Table1[[#This Row],[Coverage Rate ( 35 to 64 years )]], 0)</f>
        <v>0.91289198606271782</v>
      </c>
      <c r="AV82" s="6">
        <v>253</v>
      </c>
      <c r="AW82" s="6">
        <v>241</v>
      </c>
      <c r="AX82" s="6">
        <v>6</v>
      </c>
      <c r="AY82" s="6">
        <v>6</v>
      </c>
      <c r="AZ82" s="6">
        <v>0</v>
      </c>
      <c r="BA82" s="6">
        <v>0</v>
      </c>
      <c r="BB82" s="6">
        <v>0</v>
      </c>
      <c r="BC82" s="6">
        <v>9</v>
      </c>
      <c r="BD82" s="6">
        <v>7</v>
      </c>
      <c r="BE82" s="6">
        <v>0</v>
      </c>
      <c r="BF82" s="6">
        <v>0</v>
      </c>
      <c r="BG82" s="6">
        <v>2</v>
      </c>
      <c r="BH82" s="6">
        <v>0</v>
      </c>
      <c r="BI82" s="6">
        <v>0</v>
      </c>
      <c r="BJ82" s="6">
        <v>0</v>
      </c>
      <c r="BK82" s="9">
        <f>SUM(Table1[[#This Row],[35 to 64 years - With one type of health insurance coverage]:[35 to 64 years - With two or more types of health insurance coverage &amp; Other coverage combinations]])/Table1[[#This Row],[Total]]</f>
        <v>0.70147255689424359</v>
      </c>
      <c r="BL82" s="9">
        <f>100%-Table1[[#This Row],[35 to 64 years - Penetration Rate]]</f>
        <v>0.29852744310575641</v>
      </c>
      <c r="BM82" s="6">
        <v>25</v>
      </c>
      <c r="BN82" s="6">
        <v>55</v>
      </c>
      <c r="BO82" s="6">
        <f>SUM(Table1[[#This Row],[65 years and over - With one type of health insurance coverage]:[65 years and over - With two or more types of health insurance coverage &amp; Other coverage combinations]])</f>
        <v>110</v>
      </c>
      <c r="BP82" s="9">
        <f>(Table1[[#This Row],[65 years and over]]-Table1[[#This Row],[65 years and over - No health insurance coverage]])/Table1[[#This Row],[65 years and over]]</f>
        <v>1</v>
      </c>
      <c r="BQ82" s="9">
        <f>IFERROR(Table1[[#This Row],[Coverage Rate ( 65 years and over )]], 0)</f>
        <v>1</v>
      </c>
      <c r="BR82" s="6">
        <v>26</v>
      </c>
      <c r="BS82" s="6">
        <v>2</v>
      </c>
      <c r="BT82" s="6">
        <v>0</v>
      </c>
      <c r="BU82" s="6">
        <v>24</v>
      </c>
      <c r="BV82" s="6">
        <v>0</v>
      </c>
      <c r="BW82" s="6">
        <v>0</v>
      </c>
      <c r="BX82" s="6">
        <v>29</v>
      </c>
      <c r="BY82" s="6">
        <v>0</v>
      </c>
      <c r="BZ82" s="6">
        <v>15</v>
      </c>
      <c r="CA82" s="6">
        <v>0</v>
      </c>
      <c r="CB82" s="6">
        <v>0</v>
      </c>
      <c r="CC82" s="6">
        <v>0</v>
      </c>
      <c r="CD82" s="6">
        <v>0</v>
      </c>
      <c r="CE82" s="6">
        <v>14</v>
      </c>
      <c r="CF82" s="9">
        <f>SUM(Table1[[#This Row],[65 years and over - With one type of health insurance coverage]:[65 years and over - With two or more types of health insurance coverage &amp; Other coverage combinations]])/Table1[[#This Row],[Total]]</f>
        <v>0.14725568942436412</v>
      </c>
      <c r="CG82" s="9">
        <f>100%-Table1[[#This Row],[65 years and over - Penetration Rate]]</f>
        <v>0.85274431057563582</v>
      </c>
      <c r="CH82" s="6">
        <v>0</v>
      </c>
      <c r="CI82" s="6"/>
    </row>
    <row r="83" spans="1:87" x14ac:dyDescent="0.35">
      <c r="A83" t="s">
        <v>88</v>
      </c>
      <c r="B83">
        <v>82</v>
      </c>
      <c r="C83" s="5">
        <v>1191</v>
      </c>
      <c r="D83" s="5">
        <v>227</v>
      </c>
      <c r="E83" s="5">
        <f>SUM(Table1[[#This Row],[Under 18 years - With one type of health insurance coverage]:[Under 18 years - With two or more types of health insurance coverage &amp; Other coverage combinations]])</f>
        <v>454</v>
      </c>
      <c r="F83" s="6">
        <v>223</v>
      </c>
      <c r="G83" s="6">
        <v>128</v>
      </c>
      <c r="H83" s="6">
        <v>40</v>
      </c>
      <c r="I83" s="6">
        <v>0</v>
      </c>
      <c r="J83" s="6">
        <v>55</v>
      </c>
      <c r="K83" s="6">
        <v>0</v>
      </c>
      <c r="L83" s="6">
        <v>0</v>
      </c>
      <c r="M83" s="6">
        <v>4</v>
      </c>
      <c r="N83" s="6">
        <v>4</v>
      </c>
      <c r="O83" s="6">
        <v>0</v>
      </c>
      <c r="P83" s="6">
        <v>0</v>
      </c>
      <c r="Q83" s="6">
        <v>0</v>
      </c>
      <c r="R83" s="6">
        <v>0</v>
      </c>
      <c r="S83" s="6">
        <v>0</v>
      </c>
      <c r="T83" s="9">
        <f>SUM(Table1[[#This Row],[Under 18 years - With one type of health insurance coverage]:[Under 18 years - With two or more types of health insurance coverage &amp; Other coverage combinations]])/Table1[[#This Row],[Total]]</f>
        <v>0.3811922753988245</v>
      </c>
      <c r="U83" s="9">
        <f>100%-Table1[[#This Row],[Under 18 years - Penetration Rate]]</f>
        <v>0.6188077246011755</v>
      </c>
      <c r="V83" s="6">
        <v>0</v>
      </c>
      <c r="W83" s="6">
        <v>287</v>
      </c>
      <c r="X83" s="6">
        <f>SUM(Table1[[#This Row],[18 to 34 years - With one type of health insurance coverage]:[18 to 34 years - With two or more types of health insurance coverage &amp; Other coverage combinations]])</f>
        <v>464</v>
      </c>
      <c r="Y83" s="9">
        <f>(Table1[[#This Row],[18 to 34 years]] - Table1[[#This Row],[18 to 34 years - No health insurance coverage]]) / Table1[[#This Row],[18 to 34 years]]</f>
        <v>0.80836236933797911</v>
      </c>
      <c r="Z83" s="9">
        <f>IFERROR(Table1[[#This Row],[Coverage Rate ( 18 to 34 years )]], 0)</f>
        <v>0.80836236933797911</v>
      </c>
      <c r="AA83" s="6">
        <v>220</v>
      </c>
      <c r="AB83" s="6">
        <v>194</v>
      </c>
      <c r="AC83" s="6">
        <v>15</v>
      </c>
      <c r="AD83" s="6">
        <v>0</v>
      </c>
      <c r="AE83" s="6">
        <v>5</v>
      </c>
      <c r="AF83" s="6">
        <v>0</v>
      </c>
      <c r="AG83" s="6">
        <v>6</v>
      </c>
      <c r="AH83" s="6">
        <v>12</v>
      </c>
      <c r="AI83" s="6">
        <v>5</v>
      </c>
      <c r="AJ83" s="6">
        <v>0</v>
      </c>
      <c r="AK83" s="6">
        <v>0</v>
      </c>
      <c r="AL83" s="6">
        <v>0</v>
      </c>
      <c r="AM83" s="6">
        <v>0</v>
      </c>
      <c r="AN83" s="6">
        <v>7</v>
      </c>
      <c r="AO83" s="9">
        <f>SUM(Table1[[#This Row],[18 to 34 years - With one type of health insurance coverage]:[18 to 34 years - With two or more types of health insurance coverage &amp; Other coverage combinations]])/Table1[[#This Row],[Total]]</f>
        <v>0.38958858102434929</v>
      </c>
      <c r="AP83" s="9">
        <f>100%-Table1[[#This Row],[18 to 34 years - Penetration rate]]</f>
        <v>0.61041141897565065</v>
      </c>
      <c r="AQ83" s="6">
        <v>55</v>
      </c>
      <c r="AR83" s="6">
        <v>487</v>
      </c>
      <c r="AS83" s="6">
        <f>SUM(Table1[[#This Row],[35 to 64 years - With one type of health insurance coverage]:[35 to 64 years - With two or more types of health insurance coverage &amp; Other coverage combinations]])</f>
        <v>900</v>
      </c>
      <c r="AT83" s="9">
        <f>(Table1[[#This Row],[35 to 64 years]]-Table1[[#This Row],[35 to 64 years - No health insurance coverage]])/Table1[[#This Row],[35 to 64 years]]</f>
        <v>0.92402464065708423</v>
      </c>
      <c r="AU83" s="9">
        <f>IFERROR(Table1[[#This Row],[Coverage Rate ( 35 to 64 years )]], 0)</f>
        <v>0.92402464065708423</v>
      </c>
      <c r="AV83" s="6">
        <v>420</v>
      </c>
      <c r="AW83" s="6">
        <v>389</v>
      </c>
      <c r="AX83" s="6">
        <v>26</v>
      </c>
      <c r="AY83" s="6">
        <v>0</v>
      </c>
      <c r="AZ83" s="6">
        <v>5</v>
      </c>
      <c r="BA83" s="6">
        <v>0</v>
      </c>
      <c r="BB83" s="6">
        <v>0</v>
      </c>
      <c r="BC83" s="6">
        <v>30</v>
      </c>
      <c r="BD83" s="6">
        <v>9</v>
      </c>
      <c r="BE83" s="6">
        <v>0</v>
      </c>
      <c r="BF83" s="6">
        <v>0</v>
      </c>
      <c r="BG83" s="6">
        <v>7</v>
      </c>
      <c r="BH83" s="6">
        <v>0</v>
      </c>
      <c r="BI83" s="6">
        <v>0</v>
      </c>
      <c r="BJ83" s="6">
        <v>14</v>
      </c>
      <c r="BK83" s="9">
        <f>SUM(Table1[[#This Row],[35 to 64 years - With one type of health insurance coverage]:[35 to 64 years - With two or more types of health insurance coverage &amp; Other coverage combinations]])/Table1[[#This Row],[Total]]</f>
        <v>0.75566750629722923</v>
      </c>
      <c r="BL83" s="9">
        <f>100%-Table1[[#This Row],[35 to 64 years - Penetration Rate]]</f>
        <v>0.24433249370277077</v>
      </c>
      <c r="BM83" s="6">
        <v>37</v>
      </c>
      <c r="BN83" s="6">
        <v>190</v>
      </c>
      <c r="BO83" s="6">
        <f>SUM(Table1[[#This Row],[65 years and over - With one type of health insurance coverage]:[65 years and over - With two or more types of health insurance coverage &amp; Other coverage combinations]])</f>
        <v>380</v>
      </c>
      <c r="BP83" s="9">
        <f>(Table1[[#This Row],[65 years and over]]-Table1[[#This Row],[65 years and over - No health insurance coverage]])/Table1[[#This Row],[65 years and over]]</f>
        <v>1</v>
      </c>
      <c r="BQ83" s="9">
        <f>IFERROR(Table1[[#This Row],[Coverage Rate ( 65 years and over )]], 0)</f>
        <v>1</v>
      </c>
      <c r="BR83" s="6">
        <v>49</v>
      </c>
      <c r="BS83" s="6">
        <v>7</v>
      </c>
      <c r="BT83" s="6">
        <v>6</v>
      </c>
      <c r="BU83" s="6">
        <v>36</v>
      </c>
      <c r="BV83" s="6">
        <v>0</v>
      </c>
      <c r="BW83" s="6">
        <v>0</v>
      </c>
      <c r="BX83" s="6">
        <v>141</v>
      </c>
      <c r="BY83" s="6">
        <v>0</v>
      </c>
      <c r="BZ83" s="6">
        <v>35</v>
      </c>
      <c r="CA83" s="6">
        <v>67</v>
      </c>
      <c r="CB83" s="6">
        <v>7</v>
      </c>
      <c r="CC83" s="6">
        <v>0</v>
      </c>
      <c r="CD83" s="6">
        <v>0</v>
      </c>
      <c r="CE83" s="6">
        <v>32</v>
      </c>
      <c r="CF83" s="9">
        <f>SUM(Table1[[#This Row],[65 years and over - With one type of health insurance coverage]:[65 years and over - With two or more types of health insurance coverage &amp; Other coverage combinations]])/Table1[[#This Row],[Total]]</f>
        <v>0.31905961376994124</v>
      </c>
      <c r="CG83" s="9">
        <f>100%-Table1[[#This Row],[65 years and over - Penetration Rate]]</f>
        <v>0.6809403862300587</v>
      </c>
      <c r="CH83" s="6">
        <v>0</v>
      </c>
      <c r="CI83" s="6"/>
    </row>
    <row r="84" spans="1:87" x14ac:dyDescent="0.35">
      <c r="A84" t="s">
        <v>89</v>
      </c>
      <c r="B84">
        <v>83</v>
      </c>
      <c r="C84" s="5">
        <v>1345</v>
      </c>
      <c r="D84" s="5">
        <v>268</v>
      </c>
      <c r="E84" s="5">
        <f>SUM(Table1[[#This Row],[Under 18 years - With one type of health insurance coverage]:[Under 18 years - With two or more types of health insurance coverage &amp; Other coverage combinations]])</f>
        <v>536</v>
      </c>
      <c r="F84" s="6">
        <v>264</v>
      </c>
      <c r="G84" s="6">
        <v>215</v>
      </c>
      <c r="H84" s="6">
        <v>0</v>
      </c>
      <c r="I84" s="6">
        <v>0</v>
      </c>
      <c r="J84" s="6">
        <v>49</v>
      </c>
      <c r="K84" s="6">
        <v>0</v>
      </c>
      <c r="L84" s="6">
        <v>0</v>
      </c>
      <c r="M84" s="6">
        <v>4</v>
      </c>
      <c r="N84" s="6">
        <v>0</v>
      </c>
      <c r="O84" s="6">
        <v>4</v>
      </c>
      <c r="P84" s="6">
        <v>0</v>
      </c>
      <c r="Q84" s="6">
        <v>0</v>
      </c>
      <c r="R84" s="6">
        <v>0</v>
      </c>
      <c r="S84" s="6">
        <v>0</v>
      </c>
      <c r="T84" s="9">
        <f>SUM(Table1[[#This Row],[Under 18 years - With one type of health insurance coverage]:[Under 18 years - With two or more types of health insurance coverage &amp; Other coverage combinations]])/Table1[[#This Row],[Total]]</f>
        <v>0.39851301115241633</v>
      </c>
      <c r="U84" s="9">
        <f>100%-Table1[[#This Row],[Under 18 years - Penetration Rate]]</f>
        <v>0.60148698884758367</v>
      </c>
      <c r="V84" s="6">
        <v>0</v>
      </c>
      <c r="W84" s="6">
        <v>264</v>
      </c>
      <c r="X84" s="6">
        <f>SUM(Table1[[#This Row],[18 to 34 years - With one type of health insurance coverage]:[18 to 34 years - With two or more types of health insurance coverage &amp; Other coverage combinations]])</f>
        <v>516</v>
      </c>
      <c r="Y84" s="9">
        <f>(Table1[[#This Row],[18 to 34 years]] - Table1[[#This Row],[18 to 34 years - No health insurance coverage]]) / Table1[[#This Row],[18 to 34 years]]</f>
        <v>0.97727272727272729</v>
      </c>
      <c r="Z84" s="9">
        <f>IFERROR(Table1[[#This Row],[Coverage Rate ( 18 to 34 years )]], 0)</f>
        <v>0.97727272727272729</v>
      </c>
      <c r="AA84" s="6">
        <v>258</v>
      </c>
      <c r="AB84" s="6">
        <v>202</v>
      </c>
      <c r="AC84" s="6">
        <v>17</v>
      </c>
      <c r="AD84" s="6">
        <v>0</v>
      </c>
      <c r="AE84" s="6">
        <v>20</v>
      </c>
      <c r="AF84" s="6">
        <v>0</v>
      </c>
      <c r="AG84" s="6">
        <v>19</v>
      </c>
      <c r="AH84" s="6">
        <v>0</v>
      </c>
      <c r="AI84" s="6">
        <v>0</v>
      </c>
      <c r="AJ84" s="6">
        <v>0</v>
      </c>
      <c r="AK84" s="6">
        <v>0</v>
      </c>
      <c r="AL84" s="6">
        <v>0</v>
      </c>
      <c r="AM84" s="6">
        <v>0</v>
      </c>
      <c r="AN84" s="6">
        <v>0</v>
      </c>
      <c r="AO84" s="9">
        <f>SUM(Table1[[#This Row],[18 to 34 years - With one type of health insurance coverage]:[18 to 34 years - With two or more types of health insurance coverage &amp; Other coverage combinations]])/Table1[[#This Row],[Total]]</f>
        <v>0.38364312267657991</v>
      </c>
      <c r="AP84" s="9">
        <f>100%-Table1[[#This Row],[18 to 34 years - Penetration rate]]</f>
        <v>0.61635687732342004</v>
      </c>
      <c r="AQ84" s="6">
        <v>6</v>
      </c>
      <c r="AR84" s="6">
        <v>614</v>
      </c>
      <c r="AS84" s="6">
        <f>SUM(Table1[[#This Row],[35 to 64 years - With one type of health insurance coverage]:[35 to 64 years - With two or more types of health insurance coverage &amp; Other coverage combinations]])</f>
        <v>1158</v>
      </c>
      <c r="AT84" s="9">
        <f>(Table1[[#This Row],[35 to 64 years]]-Table1[[#This Row],[35 to 64 years - No health insurance coverage]])/Table1[[#This Row],[35 to 64 years]]</f>
        <v>0.94299674267100975</v>
      </c>
      <c r="AU84" s="9">
        <f>IFERROR(Table1[[#This Row],[Coverage Rate ( 35 to 64 years )]], 0)</f>
        <v>0.94299674267100975</v>
      </c>
      <c r="AV84" s="6">
        <v>553</v>
      </c>
      <c r="AW84" s="6">
        <v>468</v>
      </c>
      <c r="AX84" s="6">
        <v>52</v>
      </c>
      <c r="AY84" s="6">
        <v>5</v>
      </c>
      <c r="AZ84" s="6">
        <v>22</v>
      </c>
      <c r="BA84" s="6">
        <v>0</v>
      </c>
      <c r="BB84" s="6">
        <v>6</v>
      </c>
      <c r="BC84" s="6">
        <v>26</v>
      </c>
      <c r="BD84" s="6">
        <v>5</v>
      </c>
      <c r="BE84" s="6">
        <v>4</v>
      </c>
      <c r="BF84" s="6">
        <v>4</v>
      </c>
      <c r="BG84" s="6">
        <v>1</v>
      </c>
      <c r="BH84" s="6">
        <v>0</v>
      </c>
      <c r="BI84" s="6">
        <v>0</v>
      </c>
      <c r="BJ84" s="6">
        <v>12</v>
      </c>
      <c r="BK84" s="9">
        <f>SUM(Table1[[#This Row],[35 to 64 years - With one type of health insurance coverage]:[35 to 64 years - With two or more types of health insurance coverage &amp; Other coverage combinations]])/Table1[[#This Row],[Total]]</f>
        <v>0.86096654275092932</v>
      </c>
      <c r="BL84" s="9">
        <f>100%-Table1[[#This Row],[35 to 64 years - Penetration Rate]]</f>
        <v>0.13903345724907068</v>
      </c>
      <c r="BM84" s="6">
        <v>35</v>
      </c>
      <c r="BN84" s="6">
        <v>199</v>
      </c>
      <c r="BO84" s="6">
        <f>SUM(Table1[[#This Row],[65 years and over - With one type of health insurance coverage]:[65 years and over - With two or more types of health insurance coverage &amp; Other coverage combinations]])</f>
        <v>398</v>
      </c>
      <c r="BP84" s="9">
        <f>(Table1[[#This Row],[65 years and over]]-Table1[[#This Row],[65 years and over - No health insurance coverage]])/Table1[[#This Row],[65 years and over]]</f>
        <v>1</v>
      </c>
      <c r="BQ84" s="9">
        <f>IFERROR(Table1[[#This Row],[Coverage Rate ( 65 years and over )]], 0)</f>
        <v>1</v>
      </c>
      <c r="BR84" s="6">
        <v>60</v>
      </c>
      <c r="BS84" s="6">
        <v>0</v>
      </c>
      <c r="BT84" s="6">
        <v>0</v>
      </c>
      <c r="BU84" s="6">
        <v>60</v>
      </c>
      <c r="BV84" s="6">
        <v>0</v>
      </c>
      <c r="BW84" s="6">
        <v>0</v>
      </c>
      <c r="BX84" s="6">
        <v>139</v>
      </c>
      <c r="BY84" s="6">
        <v>0</v>
      </c>
      <c r="BZ84" s="6">
        <v>64</v>
      </c>
      <c r="CA84" s="6">
        <v>28</v>
      </c>
      <c r="CB84" s="6">
        <v>7</v>
      </c>
      <c r="CC84" s="6">
        <v>0</v>
      </c>
      <c r="CD84" s="6">
        <v>11</v>
      </c>
      <c r="CE84" s="6">
        <v>29</v>
      </c>
      <c r="CF84" s="9">
        <f>SUM(Table1[[#This Row],[65 years and over - With one type of health insurance coverage]:[65 years and over - With two or more types of health insurance coverage &amp; Other coverage combinations]])/Table1[[#This Row],[Total]]</f>
        <v>0.295910780669145</v>
      </c>
      <c r="CG84" s="9">
        <f>100%-Table1[[#This Row],[65 years and over - Penetration Rate]]</f>
        <v>0.704089219330855</v>
      </c>
      <c r="CH84" s="6">
        <v>0</v>
      </c>
      <c r="CI84" s="6"/>
    </row>
    <row r="85" spans="1:87" x14ac:dyDescent="0.35">
      <c r="A85" t="s">
        <v>90</v>
      </c>
      <c r="B85">
        <v>84</v>
      </c>
      <c r="C85" s="5">
        <v>2292</v>
      </c>
      <c r="D85" s="5">
        <v>262</v>
      </c>
      <c r="E85" s="5">
        <f>SUM(Table1[[#This Row],[Under 18 years - With one type of health insurance coverage]:[Under 18 years - With two or more types of health insurance coverage &amp; Other coverage combinations]])</f>
        <v>390</v>
      </c>
      <c r="F85" s="6">
        <v>195</v>
      </c>
      <c r="G85" s="6">
        <v>62</v>
      </c>
      <c r="H85" s="6">
        <v>9</v>
      </c>
      <c r="I85" s="6">
        <v>0</v>
      </c>
      <c r="J85" s="6">
        <v>124</v>
      </c>
      <c r="K85" s="6">
        <v>0</v>
      </c>
      <c r="L85" s="6">
        <v>0</v>
      </c>
      <c r="M85" s="6">
        <v>0</v>
      </c>
      <c r="N85" s="6">
        <v>0</v>
      </c>
      <c r="O85" s="6">
        <v>0</v>
      </c>
      <c r="P85" s="6">
        <v>0</v>
      </c>
      <c r="Q85" s="6">
        <v>0</v>
      </c>
      <c r="R85" s="6">
        <v>0</v>
      </c>
      <c r="S85" s="6">
        <v>0</v>
      </c>
      <c r="T85" s="9">
        <f>SUM(Table1[[#This Row],[Under 18 years - With one type of health insurance coverage]:[Under 18 years - With two or more types of health insurance coverage &amp; Other coverage combinations]])/Table1[[#This Row],[Total]]</f>
        <v>0.17015706806282724</v>
      </c>
      <c r="U85" s="9">
        <f>100%-Table1[[#This Row],[Under 18 years - Penetration Rate]]</f>
        <v>0.82984293193717273</v>
      </c>
      <c r="V85" s="6">
        <v>67</v>
      </c>
      <c r="W85" s="6">
        <v>1375</v>
      </c>
      <c r="X85" s="6">
        <f>SUM(Table1[[#This Row],[18 to 34 years - With one type of health insurance coverage]:[18 to 34 years - With two or more types of health insurance coverage &amp; Other coverage combinations]])</f>
        <v>2584</v>
      </c>
      <c r="Y85" s="9">
        <f>(Table1[[#This Row],[18 to 34 years]] - Table1[[#This Row],[18 to 34 years - No health insurance coverage]]) / Table1[[#This Row],[18 to 34 years]]</f>
        <v>0.9396363636363636</v>
      </c>
      <c r="Z85" s="9">
        <f>IFERROR(Table1[[#This Row],[Coverage Rate ( 18 to 34 years )]], 0)</f>
        <v>0.9396363636363636</v>
      </c>
      <c r="AA85" s="6">
        <v>1184</v>
      </c>
      <c r="AB85" s="6">
        <v>854</v>
      </c>
      <c r="AC85" s="6">
        <v>187</v>
      </c>
      <c r="AD85" s="6">
        <v>0</v>
      </c>
      <c r="AE85" s="6">
        <v>143</v>
      </c>
      <c r="AF85" s="6">
        <v>0</v>
      </c>
      <c r="AG85" s="6">
        <v>0</v>
      </c>
      <c r="AH85" s="6">
        <v>108</v>
      </c>
      <c r="AI85" s="6">
        <v>108</v>
      </c>
      <c r="AJ85" s="6">
        <v>0</v>
      </c>
      <c r="AK85" s="6">
        <v>0</v>
      </c>
      <c r="AL85" s="6">
        <v>0</v>
      </c>
      <c r="AM85" s="6">
        <v>0</v>
      </c>
      <c r="AN85" s="6">
        <v>0</v>
      </c>
      <c r="AO85" s="9">
        <f>SUM(Table1[[#This Row],[18 to 34 years - With one type of health insurance coverage]:[18 to 34 years - With two or more types of health insurance coverage &amp; Other coverage combinations]])/Table1[[#This Row],[Total]]</f>
        <v>1.1273996509598603</v>
      </c>
      <c r="AP85" s="9">
        <f>100%-Table1[[#This Row],[18 to 34 years - Penetration rate]]</f>
        <v>-0.12739965095986028</v>
      </c>
      <c r="AQ85" s="6">
        <v>83</v>
      </c>
      <c r="AR85" s="6">
        <v>438</v>
      </c>
      <c r="AS85" s="6">
        <f>SUM(Table1[[#This Row],[35 to 64 years - With one type of health insurance coverage]:[35 to 64 years - With two or more types of health insurance coverage &amp; Other coverage combinations]])</f>
        <v>802</v>
      </c>
      <c r="AT85" s="9">
        <f>(Table1[[#This Row],[35 to 64 years]]-Table1[[#This Row],[35 to 64 years - No health insurance coverage]])/Table1[[#This Row],[35 to 64 years]]</f>
        <v>0.91552511415525117</v>
      </c>
      <c r="AU85" s="9">
        <f>IFERROR(Table1[[#This Row],[Coverage Rate ( 35 to 64 years )]], 0)</f>
        <v>0.91552511415525117</v>
      </c>
      <c r="AV85" s="6">
        <v>313</v>
      </c>
      <c r="AW85" s="6">
        <v>108</v>
      </c>
      <c r="AX85" s="6">
        <v>16</v>
      </c>
      <c r="AY85" s="6">
        <v>8</v>
      </c>
      <c r="AZ85" s="6">
        <v>162</v>
      </c>
      <c r="BA85" s="6">
        <v>0</v>
      </c>
      <c r="BB85" s="6">
        <v>19</v>
      </c>
      <c r="BC85" s="6">
        <v>88</v>
      </c>
      <c r="BD85" s="6">
        <v>11</v>
      </c>
      <c r="BE85" s="6">
        <v>0</v>
      </c>
      <c r="BF85" s="6">
        <v>0</v>
      </c>
      <c r="BG85" s="6">
        <v>58</v>
      </c>
      <c r="BH85" s="6">
        <v>0</v>
      </c>
      <c r="BI85" s="6">
        <v>0</v>
      </c>
      <c r="BJ85" s="6">
        <v>19</v>
      </c>
      <c r="BK85" s="9">
        <f>SUM(Table1[[#This Row],[35 to 64 years - With one type of health insurance coverage]:[35 to 64 years - With two or more types of health insurance coverage &amp; Other coverage combinations]])/Table1[[#This Row],[Total]]</f>
        <v>0.34991273996509598</v>
      </c>
      <c r="BL85" s="9">
        <f>100%-Table1[[#This Row],[35 to 64 years - Penetration Rate]]</f>
        <v>0.65008726003490402</v>
      </c>
      <c r="BM85" s="6">
        <v>37</v>
      </c>
      <c r="BN85" s="6">
        <v>217</v>
      </c>
      <c r="BO85" s="6">
        <f>SUM(Table1[[#This Row],[65 years and over - With one type of health insurance coverage]:[65 years and over - With two or more types of health insurance coverage &amp; Other coverage combinations]])</f>
        <v>434</v>
      </c>
      <c r="BP85" s="9">
        <f>(Table1[[#This Row],[65 years and over]]-Table1[[#This Row],[65 years and over - No health insurance coverage]])/Table1[[#This Row],[65 years and over]]</f>
        <v>1</v>
      </c>
      <c r="BQ85" s="9">
        <f>IFERROR(Table1[[#This Row],[Coverage Rate ( 65 years and over )]], 0)</f>
        <v>1</v>
      </c>
      <c r="BR85" s="6">
        <v>64</v>
      </c>
      <c r="BS85" s="6">
        <v>0</v>
      </c>
      <c r="BT85" s="6">
        <v>0</v>
      </c>
      <c r="BU85" s="6">
        <v>64</v>
      </c>
      <c r="BV85" s="6">
        <v>0</v>
      </c>
      <c r="BW85" s="6">
        <v>0</v>
      </c>
      <c r="BX85" s="6">
        <v>153</v>
      </c>
      <c r="BY85" s="6">
        <v>0</v>
      </c>
      <c r="BZ85" s="6">
        <v>25</v>
      </c>
      <c r="CA85" s="6">
        <v>15</v>
      </c>
      <c r="CB85" s="6">
        <v>76</v>
      </c>
      <c r="CC85" s="6">
        <v>0</v>
      </c>
      <c r="CD85" s="6">
        <v>0</v>
      </c>
      <c r="CE85" s="6">
        <v>37</v>
      </c>
      <c r="CF85" s="9">
        <f>SUM(Table1[[#This Row],[65 years and over - With one type of health insurance coverage]:[65 years and over - With two or more types of health insurance coverage &amp; Other coverage combinations]])/Table1[[#This Row],[Total]]</f>
        <v>0.18935427574171029</v>
      </c>
      <c r="CG85" s="9">
        <f>100%-Table1[[#This Row],[65 years and over - Penetration Rate]]</f>
        <v>0.81064572425828973</v>
      </c>
      <c r="CH85" s="6">
        <v>0</v>
      </c>
      <c r="CI85" s="6"/>
    </row>
    <row r="86" spans="1:87" x14ac:dyDescent="0.35">
      <c r="A86" t="s">
        <v>91</v>
      </c>
      <c r="B86">
        <v>85</v>
      </c>
      <c r="C86" s="5">
        <v>2283</v>
      </c>
      <c r="D86" s="5">
        <v>320</v>
      </c>
      <c r="E86" s="5">
        <f>SUM(Table1[[#This Row],[Under 18 years - With one type of health insurance coverage]:[Under 18 years - With two or more types of health insurance coverage &amp; Other coverage combinations]])</f>
        <v>640</v>
      </c>
      <c r="F86" s="6">
        <v>320</v>
      </c>
      <c r="G86" s="6">
        <v>60</v>
      </c>
      <c r="H86" s="6">
        <v>0</v>
      </c>
      <c r="I86" s="6">
        <v>0</v>
      </c>
      <c r="J86" s="6">
        <v>260</v>
      </c>
      <c r="K86" s="6">
        <v>0</v>
      </c>
      <c r="L86" s="6">
        <v>0</v>
      </c>
      <c r="M86" s="6">
        <v>0</v>
      </c>
      <c r="N86" s="6">
        <v>0</v>
      </c>
      <c r="O86" s="6">
        <v>0</v>
      </c>
      <c r="P86" s="6">
        <v>0</v>
      </c>
      <c r="Q86" s="6">
        <v>0</v>
      </c>
      <c r="R86" s="6">
        <v>0</v>
      </c>
      <c r="S86" s="6">
        <v>0</v>
      </c>
      <c r="T86" s="9">
        <f>SUM(Table1[[#This Row],[Under 18 years - With one type of health insurance coverage]:[Under 18 years - With two or more types of health insurance coverage &amp; Other coverage combinations]])/Table1[[#This Row],[Total]]</f>
        <v>0.28033289531318439</v>
      </c>
      <c r="U86" s="9">
        <f>100%-Table1[[#This Row],[Under 18 years - Penetration Rate]]</f>
        <v>0.71966710468681561</v>
      </c>
      <c r="V86" s="6">
        <v>0</v>
      </c>
      <c r="W86" s="6">
        <v>721</v>
      </c>
      <c r="X86" s="6">
        <f>SUM(Table1[[#This Row],[18 to 34 years - With one type of health insurance coverage]:[18 to 34 years - With two or more types of health insurance coverage &amp; Other coverage combinations]])</f>
        <v>1304</v>
      </c>
      <c r="Y86" s="9">
        <f>(Table1[[#This Row],[18 to 34 years]] - Table1[[#This Row],[18 to 34 years - No health insurance coverage]]) / Table1[[#This Row],[18 to 34 years]]</f>
        <v>0.90429958391123444</v>
      </c>
      <c r="Z86" s="9">
        <f>IFERROR(Table1[[#This Row],[Coverage Rate ( 18 to 34 years )]], 0)</f>
        <v>0.90429958391123444</v>
      </c>
      <c r="AA86" s="6">
        <v>605</v>
      </c>
      <c r="AB86" s="6">
        <v>452</v>
      </c>
      <c r="AC86" s="6">
        <v>17</v>
      </c>
      <c r="AD86" s="6">
        <v>0</v>
      </c>
      <c r="AE86" s="6">
        <v>123</v>
      </c>
      <c r="AF86" s="6">
        <v>13</v>
      </c>
      <c r="AG86" s="6">
        <v>0</v>
      </c>
      <c r="AH86" s="6">
        <v>47</v>
      </c>
      <c r="AI86" s="6">
        <v>27</v>
      </c>
      <c r="AJ86" s="6">
        <v>0</v>
      </c>
      <c r="AK86" s="6">
        <v>7</v>
      </c>
      <c r="AL86" s="6">
        <v>0</v>
      </c>
      <c r="AM86" s="6">
        <v>0</v>
      </c>
      <c r="AN86" s="6">
        <v>13</v>
      </c>
      <c r="AO86" s="9">
        <f>SUM(Table1[[#This Row],[18 to 34 years - With one type of health insurance coverage]:[18 to 34 years - With two or more types of health insurance coverage &amp; Other coverage combinations]])/Table1[[#This Row],[Total]]</f>
        <v>0.57117827420061318</v>
      </c>
      <c r="AP86" s="9">
        <f>100%-Table1[[#This Row],[18 to 34 years - Penetration rate]]</f>
        <v>0.42882172579938682</v>
      </c>
      <c r="AQ86" s="6">
        <v>69</v>
      </c>
      <c r="AR86" s="6">
        <v>909</v>
      </c>
      <c r="AS86" s="6">
        <f>SUM(Table1[[#This Row],[35 to 64 years - With one type of health insurance coverage]:[35 to 64 years - With two or more types of health insurance coverage &amp; Other coverage combinations]])</f>
        <v>1632</v>
      </c>
      <c r="AT86" s="9">
        <f>(Table1[[#This Row],[35 to 64 years]]-Table1[[#This Row],[35 to 64 years - No health insurance coverage]])/Table1[[#This Row],[35 to 64 years]]</f>
        <v>0.89768976897689767</v>
      </c>
      <c r="AU86" s="9">
        <f>IFERROR(Table1[[#This Row],[Coverage Rate ( 35 to 64 years )]], 0)</f>
        <v>0.89768976897689767</v>
      </c>
      <c r="AV86" s="6">
        <v>720</v>
      </c>
      <c r="AW86" s="6">
        <v>590</v>
      </c>
      <c r="AX86" s="6">
        <v>91</v>
      </c>
      <c r="AY86" s="6">
        <v>9</v>
      </c>
      <c r="AZ86" s="6">
        <v>20</v>
      </c>
      <c r="BA86" s="6">
        <v>0</v>
      </c>
      <c r="BB86" s="6">
        <v>10</v>
      </c>
      <c r="BC86" s="6">
        <v>96</v>
      </c>
      <c r="BD86" s="6">
        <v>14</v>
      </c>
      <c r="BE86" s="6">
        <v>0</v>
      </c>
      <c r="BF86" s="6">
        <v>10</v>
      </c>
      <c r="BG86" s="6">
        <v>41</v>
      </c>
      <c r="BH86" s="6">
        <v>0</v>
      </c>
      <c r="BI86" s="6">
        <v>0</v>
      </c>
      <c r="BJ86" s="6">
        <v>31</v>
      </c>
      <c r="BK86" s="9">
        <f>SUM(Table1[[#This Row],[35 to 64 years - With one type of health insurance coverage]:[35 to 64 years - With two or more types of health insurance coverage &amp; Other coverage combinations]])/Table1[[#This Row],[Total]]</f>
        <v>0.71484888304862026</v>
      </c>
      <c r="BL86" s="9">
        <f>100%-Table1[[#This Row],[35 to 64 years - Penetration Rate]]</f>
        <v>0.28515111695137974</v>
      </c>
      <c r="BM86" s="6">
        <v>93</v>
      </c>
      <c r="BN86" s="6">
        <v>333</v>
      </c>
      <c r="BO86" s="6">
        <f>SUM(Table1[[#This Row],[65 years and over - With one type of health insurance coverage]:[65 years and over - With two or more types of health insurance coverage &amp; Other coverage combinations]])</f>
        <v>666</v>
      </c>
      <c r="BP86" s="9">
        <f>(Table1[[#This Row],[65 years and over]]-Table1[[#This Row],[65 years and over - No health insurance coverage]])/Table1[[#This Row],[65 years and over]]</f>
        <v>1</v>
      </c>
      <c r="BQ86" s="9">
        <f>IFERROR(Table1[[#This Row],[Coverage Rate ( 65 years and over )]], 0)</f>
        <v>1</v>
      </c>
      <c r="BR86" s="6">
        <v>71</v>
      </c>
      <c r="BS86" s="6">
        <v>22</v>
      </c>
      <c r="BT86" s="6">
        <v>0</v>
      </c>
      <c r="BU86" s="6">
        <v>49</v>
      </c>
      <c r="BV86" s="6">
        <v>0</v>
      </c>
      <c r="BW86" s="6">
        <v>0</v>
      </c>
      <c r="BX86" s="6">
        <v>262</v>
      </c>
      <c r="BY86" s="6">
        <v>0</v>
      </c>
      <c r="BZ86" s="6">
        <v>29</v>
      </c>
      <c r="CA86" s="6">
        <v>169</v>
      </c>
      <c r="CB86" s="6">
        <v>15</v>
      </c>
      <c r="CC86" s="6">
        <v>0</v>
      </c>
      <c r="CD86" s="6">
        <v>7</v>
      </c>
      <c r="CE86" s="6">
        <v>42</v>
      </c>
      <c r="CF86" s="9">
        <f>SUM(Table1[[#This Row],[65 years and over - With one type of health insurance coverage]:[65 years and over - With two or more types of health insurance coverage &amp; Other coverage combinations]])/Table1[[#This Row],[Total]]</f>
        <v>0.29172141918528255</v>
      </c>
      <c r="CG86" s="9">
        <f>100%-Table1[[#This Row],[65 years and over - Penetration Rate]]</f>
        <v>0.7082785808147174</v>
      </c>
      <c r="CH86" s="6">
        <v>0</v>
      </c>
      <c r="CI86" s="6"/>
    </row>
    <row r="87" spans="1:87" x14ac:dyDescent="0.35">
      <c r="A87" t="s">
        <v>92</v>
      </c>
      <c r="B87">
        <v>86</v>
      </c>
      <c r="C87" s="5">
        <v>1864</v>
      </c>
      <c r="D87" s="5">
        <v>254</v>
      </c>
      <c r="E87" s="5">
        <f>SUM(Table1[[#This Row],[Under 18 years - With one type of health insurance coverage]:[Under 18 years - With two or more types of health insurance coverage &amp; Other coverage combinations]])</f>
        <v>508</v>
      </c>
      <c r="F87" s="6">
        <v>239</v>
      </c>
      <c r="G87" s="6">
        <v>33</v>
      </c>
      <c r="H87" s="6">
        <v>0</v>
      </c>
      <c r="I87" s="6">
        <v>0</v>
      </c>
      <c r="J87" s="6">
        <v>206</v>
      </c>
      <c r="K87" s="6">
        <v>0</v>
      </c>
      <c r="L87" s="6">
        <v>0</v>
      </c>
      <c r="M87" s="6">
        <v>15</v>
      </c>
      <c r="N87" s="6">
        <v>0</v>
      </c>
      <c r="O87" s="6">
        <v>0</v>
      </c>
      <c r="P87" s="6">
        <v>0</v>
      </c>
      <c r="Q87" s="6">
        <v>0</v>
      </c>
      <c r="R87" s="6">
        <v>0</v>
      </c>
      <c r="S87" s="6">
        <v>15</v>
      </c>
      <c r="T87" s="9">
        <f>SUM(Table1[[#This Row],[Under 18 years - With one type of health insurance coverage]:[Under 18 years - With two or more types of health insurance coverage &amp; Other coverage combinations]])/Table1[[#This Row],[Total]]</f>
        <v>0.27253218884120173</v>
      </c>
      <c r="U87" s="9">
        <f>100%-Table1[[#This Row],[Under 18 years - Penetration Rate]]</f>
        <v>0.72746781115879822</v>
      </c>
      <c r="V87" s="6">
        <v>0</v>
      </c>
      <c r="W87" s="6">
        <v>465</v>
      </c>
      <c r="X87" s="6">
        <f>SUM(Table1[[#This Row],[18 to 34 years - With one type of health insurance coverage]:[18 to 34 years - With two or more types of health insurance coverage &amp; Other coverage combinations]])</f>
        <v>596</v>
      </c>
      <c r="Y87" s="9">
        <f>(Table1[[#This Row],[18 to 34 years]] - Table1[[#This Row],[18 to 34 years - No health insurance coverage]]) / Table1[[#This Row],[18 to 34 years]]</f>
        <v>0.64086021505376345</v>
      </c>
      <c r="Z87" s="9">
        <f>IFERROR(Table1[[#This Row],[Coverage Rate ( 18 to 34 years )]], 0)</f>
        <v>0.64086021505376345</v>
      </c>
      <c r="AA87" s="6">
        <v>298</v>
      </c>
      <c r="AB87" s="6">
        <v>70</v>
      </c>
      <c r="AC87" s="6">
        <v>119</v>
      </c>
      <c r="AD87" s="6">
        <v>0</v>
      </c>
      <c r="AE87" s="6">
        <v>109</v>
      </c>
      <c r="AF87" s="6">
        <v>0</v>
      </c>
      <c r="AG87" s="6">
        <v>0</v>
      </c>
      <c r="AH87" s="6">
        <v>0</v>
      </c>
      <c r="AI87" s="6">
        <v>0</v>
      </c>
      <c r="AJ87" s="6">
        <v>0</v>
      </c>
      <c r="AK87" s="6">
        <v>0</v>
      </c>
      <c r="AL87" s="6">
        <v>0</v>
      </c>
      <c r="AM87" s="6">
        <v>0</v>
      </c>
      <c r="AN87" s="6">
        <v>0</v>
      </c>
      <c r="AO87" s="9">
        <f>SUM(Table1[[#This Row],[18 to 34 years - With one type of health insurance coverage]:[18 to 34 years - With two or more types of health insurance coverage &amp; Other coverage combinations]])/Table1[[#This Row],[Total]]</f>
        <v>0.31974248927038629</v>
      </c>
      <c r="AP87" s="9">
        <f>100%-Table1[[#This Row],[18 to 34 years - Penetration rate]]</f>
        <v>0.68025751072961371</v>
      </c>
      <c r="AQ87" s="6">
        <v>167</v>
      </c>
      <c r="AR87" s="6">
        <v>771</v>
      </c>
      <c r="AS87" s="6">
        <f>SUM(Table1[[#This Row],[35 to 64 years - With one type of health insurance coverage]:[35 to 64 years - With two or more types of health insurance coverage &amp; Other coverage combinations]])</f>
        <v>1274</v>
      </c>
      <c r="AT87" s="9">
        <f>(Table1[[#This Row],[35 to 64 years]]-Table1[[#This Row],[35 to 64 years - No health insurance coverage]])/Table1[[#This Row],[35 to 64 years]]</f>
        <v>0.82619974059662771</v>
      </c>
      <c r="AU87" s="9">
        <f>IFERROR(Table1[[#This Row],[Coverage Rate ( 35 to 64 years )]], 0)</f>
        <v>0.82619974059662771</v>
      </c>
      <c r="AV87" s="6">
        <v>598</v>
      </c>
      <c r="AW87" s="6">
        <v>383</v>
      </c>
      <c r="AX87" s="6">
        <v>19</v>
      </c>
      <c r="AY87" s="6">
        <v>0</v>
      </c>
      <c r="AZ87" s="6">
        <v>181</v>
      </c>
      <c r="BA87" s="6">
        <v>0</v>
      </c>
      <c r="BB87" s="6">
        <v>15</v>
      </c>
      <c r="BC87" s="6">
        <v>39</v>
      </c>
      <c r="BD87" s="6">
        <v>0</v>
      </c>
      <c r="BE87" s="6">
        <v>0</v>
      </c>
      <c r="BF87" s="6">
        <v>0</v>
      </c>
      <c r="BG87" s="6">
        <v>7</v>
      </c>
      <c r="BH87" s="6">
        <v>0</v>
      </c>
      <c r="BI87" s="6">
        <v>15</v>
      </c>
      <c r="BJ87" s="6">
        <v>17</v>
      </c>
      <c r="BK87" s="9">
        <f>SUM(Table1[[#This Row],[35 to 64 years - With one type of health insurance coverage]:[35 to 64 years - With two or more types of health insurance coverage &amp; Other coverage combinations]])/Table1[[#This Row],[Total]]</f>
        <v>0.6834763948497854</v>
      </c>
      <c r="BL87" s="9">
        <f>100%-Table1[[#This Row],[35 to 64 years - Penetration Rate]]</f>
        <v>0.3165236051502146</v>
      </c>
      <c r="BM87" s="6">
        <v>134</v>
      </c>
      <c r="BN87" s="6">
        <v>374</v>
      </c>
      <c r="BO87" s="6">
        <f>SUM(Table1[[#This Row],[65 years and over - With one type of health insurance coverage]:[65 years and over - With two or more types of health insurance coverage &amp; Other coverage combinations]])</f>
        <v>748</v>
      </c>
      <c r="BP87" s="9">
        <f>(Table1[[#This Row],[65 years and over]]-Table1[[#This Row],[65 years and over - No health insurance coverage]])/Table1[[#This Row],[65 years and over]]</f>
        <v>1</v>
      </c>
      <c r="BQ87" s="9">
        <f>IFERROR(Table1[[#This Row],[Coverage Rate ( 65 years and over )]], 0)</f>
        <v>1</v>
      </c>
      <c r="BR87" s="6">
        <v>32</v>
      </c>
      <c r="BS87" s="6">
        <v>3</v>
      </c>
      <c r="BT87" s="6">
        <v>0</v>
      </c>
      <c r="BU87" s="6">
        <v>29</v>
      </c>
      <c r="BV87" s="6">
        <v>0</v>
      </c>
      <c r="BW87" s="6">
        <v>0</v>
      </c>
      <c r="BX87" s="6">
        <v>342</v>
      </c>
      <c r="BY87" s="6">
        <v>0</v>
      </c>
      <c r="BZ87" s="6">
        <v>105</v>
      </c>
      <c r="CA87" s="6">
        <v>86</v>
      </c>
      <c r="CB87" s="6">
        <v>78</v>
      </c>
      <c r="CC87" s="6">
        <v>0</v>
      </c>
      <c r="CD87" s="6">
        <v>0</v>
      </c>
      <c r="CE87" s="6">
        <v>73</v>
      </c>
      <c r="CF87" s="9">
        <f>SUM(Table1[[#This Row],[65 years and over - With one type of health insurance coverage]:[65 years and over - With two or more types of health insurance coverage &amp; Other coverage combinations]])/Table1[[#This Row],[Total]]</f>
        <v>0.40128755364806867</v>
      </c>
      <c r="CG87" s="9">
        <f>100%-Table1[[#This Row],[65 years and over - Penetration Rate]]</f>
        <v>0.59871244635193133</v>
      </c>
      <c r="CH87" s="6">
        <v>0</v>
      </c>
      <c r="CI87" s="6"/>
    </row>
    <row r="88" spans="1:87" x14ac:dyDescent="0.35">
      <c r="A88" t="s">
        <v>93</v>
      </c>
      <c r="B88">
        <v>87</v>
      </c>
      <c r="C88" s="5">
        <v>2754</v>
      </c>
      <c r="D88" s="5">
        <v>522</v>
      </c>
      <c r="E88" s="5">
        <f>SUM(Table1[[#This Row],[Under 18 years - With one type of health insurance coverage]:[Under 18 years - With two or more types of health insurance coverage &amp; Other coverage combinations]])</f>
        <v>932</v>
      </c>
      <c r="F88" s="6">
        <v>466</v>
      </c>
      <c r="G88" s="6">
        <v>148</v>
      </c>
      <c r="H88" s="6">
        <v>24</v>
      </c>
      <c r="I88" s="6">
        <v>0</v>
      </c>
      <c r="J88" s="6">
        <v>294</v>
      </c>
      <c r="K88" s="6">
        <v>0</v>
      </c>
      <c r="L88" s="6">
        <v>0</v>
      </c>
      <c r="M88" s="6">
        <v>0</v>
      </c>
      <c r="N88" s="6">
        <v>0</v>
      </c>
      <c r="O88" s="6">
        <v>0</v>
      </c>
      <c r="P88" s="6">
        <v>0</v>
      </c>
      <c r="Q88" s="6">
        <v>0</v>
      </c>
      <c r="R88" s="6">
        <v>0</v>
      </c>
      <c r="S88" s="6">
        <v>0</v>
      </c>
      <c r="T88" s="9">
        <f>SUM(Table1[[#This Row],[Under 18 years - With one type of health insurance coverage]:[Under 18 years - With two or more types of health insurance coverage &amp; Other coverage combinations]])/Table1[[#This Row],[Total]]</f>
        <v>0.33841684822076978</v>
      </c>
      <c r="U88" s="9">
        <f>100%-Table1[[#This Row],[Under 18 years - Penetration Rate]]</f>
        <v>0.66158315177923022</v>
      </c>
      <c r="V88" s="6">
        <v>56</v>
      </c>
      <c r="W88" s="6">
        <v>1071</v>
      </c>
      <c r="X88" s="6">
        <f>SUM(Table1[[#This Row],[18 to 34 years - With one type of health insurance coverage]:[18 to 34 years - With two or more types of health insurance coverage &amp; Other coverage combinations]])</f>
        <v>1786</v>
      </c>
      <c r="Y88" s="9">
        <f>(Table1[[#This Row],[18 to 34 years]] - Table1[[#This Row],[18 to 34 years - No health insurance coverage]]) / Table1[[#This Row],[18 to 34 years]]</f>
        <v>0.83380018674136325</v>
      </c>
      <c r="Z88" s="9">
        <f>IFERROR(Table1[[#This Row],[Coverage Rate ( 18 to 34 years )]], 0)</f>
        <v>0.83380018674136325</v>
      </c>
      <c r="AA88" s="6">
        <v>862</v>
      </c>
      <c r="AB88" s="6">
        <v>641</v>
      </c>
      <c r="AC88" s="6">
        <v>145</v>
      </c>
      <c r="AD88" s="6">
        <v>19</v>
      </c>
      <c r="AE88" s="6">
        <v>57</v>
      </c>
      <c r="AF88" s="6">
        <v>0</v>
      </c>
      <c r="AG88" s="6">
        <v>0</v>
      </c>
      <c r="AH88" s="6">
        <v>31</v>
      </c>
      <c r="AI88" s="6">
        <v>0</v>
      </c>
      <c r="AJ88" s="6">
        <v>0</v>
      </c>
      <c r="AK88" s="6">
        <v>0</v>
      </c>
      <c r="AL88" s="6">
        <v>0</v>
      </c>
      <c r="AM88" s="6">
        <v>0</v>
      </c>
      <c r="AN88" s="6">
        <v>31</v>
      </c>
      <c r="AO88" s="9">
        <f>SUM(Table1[[#This Row],[18 to 34 years - With one type of health insurance coverage]:[18 to 34 years - With two or more types of health insurance coverage &amp; Other coverage combinations]])/Table1[[#This Row],[Total]]</f>
        <v>0.64851125635439366</v>
      </c>
      <c r="AP88" s="9">
        <f>100%-Table1[[#This Row],[18 to 34 years - Penetration rate]]</f>
        <v>0.35148874364560634</v>
      </c>
      <c r="AQ88" s="6">
        <v>178</v>
      </c>
      <c r="AR88" s="6">
        <v>825</v>
      </c>
      <c r="AS88" s="6">
        <f>SUM(Table1[[#This Row],[35 to 64 years - With one type of health insurance coverage]:[35 to 64 years - With two or more types of health insurance coverage &amp; Other coverage combinations]])</f>
        <v>1294</v>
      </c>
      <c r="AT88" s="9">
        <f>(Table1[[#This Row],[35 to 64 years]]-Table1[[#This Row],[35 to 64 years - No health insurance coverage]])/Table1[[#This Row],[35 to 64 years]]</f>
        <v>0.7842424242424243</v>
      </c>
      <c r="AU88" s="9">
        <f>IFERROR(Table1[[#This Row],[Coverage Rate ( 35 to 64 years )]], 0)</f>
        <v>0.7842424242424243</v>
      </c>
      <c r="AV88" s="6">
        <v>598</v>
      </c>
      <c r="AW88" s="6">
        <v>446</v>
      </c>
      <c r="AX88" s="6">
        <v>70</v>
      </c>
      <c r="AY88" s="6">
        <v>15</v>
      </c>
      <c r="AZ88" s="6">
        <v>62</v>
      </c>
      <c r="BA88" s="6">
        <v>0</v>
      </c>
      <c r="BB88" s="6">
        <v>5</v>
      </c>
      <c r="BC88" s="6">
        <v>49</v>
      </c>
      <c r="BD88" s="6">
        <v>2</v>
      </c>
      <c r="BE88" s="6">
        <v>0</v>
      </c>
      <c r="BF88" s="6">
        <v>5</v>
      </c>
      <c r="BG88" s="6">
        <v>0</v>
      </c>
      <c r="BH88" s="6">
        <v>0</v>
      </c>
      <c r="BI88" s="6">
        <v>9</v>
      </c>
      <c r="BJ88" s="6">
        <v>33</v>
      </c>
      <c r="BK88" s="9">
        <f>SUM(Table1[[#This Row],[35 to 64 years - With one type of health insurance coverage]:[35 to 64 years - With two or more types of health insurance coverage &amp; Other coverage combinations]])/Table1[[#This Row],[Total]]</f>
        <v>0.46986201888162671</v>
      </c>
      <c r="BL88" s="9">
        <f>100%-Table1[[#This Row],[35 to 64 years - Penetration Rate]]</f>
        <v>0.53013798111837329</v>
      </c>
      <c r="BM88" s="6">
        <v>178</v>
      </c>
      <c r="BN88" s="6">
        <v>336</v>
      </c>
      <c r="BO88" s="6">
        <f>SUM(Table1[[#This Row],[65 years and over - With one type of health insurance coverage]:[65 years and over - With two or more types of health insurance coverage &amp; Other coverage combinations]])</f>
        <v>672</v>
      </c>
      <c r="BP88" s="9">
        <f>(Table1[[#This Row],[65 years and over]]-Table1[[#This Row],[65 years and over - No health insurance coverage]])/Table1[[#This Row],[65 years and over]]</f>
        <v>1</v>
      </c>
      <c r="BQ88" s="9">
        <f>IFERROR(Table1[[#This Row],[Coverage Rate ( 65 years and over )]], 0)</f>
        <v>1</v>
      </c>
      <c r="BR88" s="6">
        <v>77</v>
      </c>
      <c r="BS88" s="6">
        <v>25</v>
      </c>
      <c r="BT88" s="6">
        <v>0</v>
      </c>
      <c r="BU88" s="6">
        <v>52</v>
      </c>
      <c r="BV88" s="6">
        <v>0</v>
      </c>
      <c r="BW88" s="6">
        <v>0</v>
      </c>
      <c r="BX88" s="6">
        <v>259</v>
      </c>
      <c r="BY88" s="6">
        <v>0</v>
      </c>
      <c r="BZ88" s="6">
        <v>54</v>
      </c>
      <c r="CA88" s="6">
        <v>64</v>
      </c>
      <c r="CB88" s="6">
        <v>32</v>
      </c>
      <c r="CC88" s="6">
        <v>0</v>
      </c>
      <c r="CD88" s="6">
        <v>0</v>
      </c>
      <c r="CE88" s="6">
        <v>109</v>
      </c>
      <c r="CF88" s="9">
        <f>SUM(Table1[[#This Row],[65 years and over - With one type of health insurance coverage]:[65 years and over - With two or more types of health insurance coverage &amp; Other coverage combinations]])/Table1[[#This Row],[Total]]</f>
        <v>0.24400871459694989</v>
      </c>
      <c r="CG88" s="9">
        <f>100%-Table1[[#This Row],[65 years and over - Penetration Rate]]</f>
        <v>0.75599128540305016</v>
      </c>
      <c r="CH88" s="6">
        <v>0</v>
      </c>
      <c r="CI88" s="6"/>
    </row>
    <row r="89" spans="1:87" x14ac:dyDescent="0.35">
      <c r="A89" t="s">
        <v>94</v>
      </c>
      <c r="B89">
        <v>88</v>
      </c>
      <c r="C89" s="5">
        <v>235</v>
      </c>
      <c r="D89" s="5">
        <v>0</v>
      </c>
      <c r="E89" s="5">
        <f>SUM(Table1[[#This Row],[Under 18 years - With one type of health insurance coverage]:[Under 18 years - With two or more types of health insurance coverage &amp; Other coverage combinations]])</f>
        <v>0</v>
      </c>
      <c r="F89" s="6">
        <v>0</v>
      </c>
      <c r="G89" s="6">
        <v>0</v>
      </c>
      <c r="H89" s="6">
        <v>0</v>
      </c>
      <c r="I89" s="6">
        <v>0</v>
      </c>
      <c r="J89" s="6">
        <v>0</v>
      </c>
      <c r="K89" s="6">
        <v>0</v>
      </c>
      <c r="L89" s="6">
        <v>0</v>
      </c>
      <c r="M89" s="6">
        <v>0</v>
      </c>
      <c r="N89" s="6">
        <v>0</v>
      </c>
      <c r="O89" s="6">
        <v>0</v>
      </c>
      <c r="P89" s="6">
        <v>0</v>
      </c>
      <c r="Q89" s="6">
        <v>0</v>
      </c>
      <c r="R89" s="6">
        <v>0</v>
      </c>
      <c r="S89" s="6">
        <v>0</v>
      </c>
      <c r="T89" s="9">
        <f>SUM(Table1[[#This Row],[Under 18 years - With one type of health insurance coverage]:[Under 18 years - With two or more types of health insurance coverage &amp; Other coverage combinations]])/Table1[[#This Row],[Total]]</f>
        <v>0</v>
      </c>
      <c r="U89" s="9">
        <f>100%-Table1[[#This Row],[Under 18 years - Penetration Rate]]</f>
        <v>1</v>
      </c>
      <c r="V89" s="6">
        <v>0</v>
      </c>
      <c r="W89" s="6">
        <v>144</v>
      </c>
      <c r="X89" s="6">
        <f>SUM(Table1[[#This Row],[18 to 34 years - With one type of health insurance coverage]:[18 to 34 years - With two or more types of health insurance coverage &amp; Other coverage combinations]])</f>
        <v>176</v>
      </c>
      <c r="Y89" s="9">
        <f>(Table1[[#This Row],[18 to 34 years]] - Table1[[#This Row],[18 to 34 years - No health insurance coverage]]) / Table1[[#This Row],[18 to 34 years]]</f>
        <v>0.61111111111111116</v>
      </c>
      <c r="Z89" s="9">
        <f>IFERROR(Table1[[#This Row],[Coverage Rate ( 18 to 34 years )]], 0)</f>
        <v>0.61111111111111116</v>
      </c>
      <c r="AA89" s="6">
        <v>78</v>
      </c>
      <c r="AB89" s="6">
        <v>78</v>
      </c>
      <c r="AC89" s="6">
        <v>0</v>
      </c>
      <c r="AD89" s="6">
        <v>0</v>
      </c>
      <c r="AE89" s="6">
        <v>0</v>
      </c>
      <c r="AF89" s="6">
        <v>0</v>
      </c>
      <c r="AG89" s="6">
        <v>0</v>
      </c>
      <c r="AH89" s="6">
        <v>10</v>
      </c>
      <c r="AI89" s="6">
        <v>0</v>
      </c>
      <c r="AJ89" s="6">
        <v>0</v>
      </c>
      <c r="AK89" s="6">
        <v>10</v>
      </c>
      <c r="AL89" s="6">
        <v>0</v>
      </c>
      <c r="AM89" s="6">
        <v>0</v>
      </c>
      <c r="AN89" s="6">
        <v>0</v>
      </c>
      <c r="AO89" s="9">
        <f>SUM(Table1[[#This Row],[18 to 34 years - With one type of health insurance coverage]:[18 to 34 years - With two or more types of health insurance coverage &amp; Other coverage combinations]])/Table1[[#This Row],[Total]]</f>
        <v>0.74893617021276593</v>
      </c>
      <c r="AP89" s="9">
        <f>100%-Table1[[#This Row],[18 to 34 years - Penetration rate]]</f>
        <v>0.25106382978723407</v>
      </c>
      <c r="AQ89" s="6">
        <v>56</v>
      </c>
      <c r="AR89" s="6">
        <v>66</v>
      </c>
      <c r="AS89" s="6">
        <f>SUM(Table1[[#This Row],[35 to 64 years - With one type of health insurance coverage]:[35 to 64 years - With two or more types of health insurance coverage &amp; Other coverage combinations]])</f>
        <v>104</v>
      </c>
      <c r="AT89" s="9">
        <f>(Table1[[#This Row],[35 to 64 years]]-Table1[[#This Row],[35 to 64 years - No health insurance coverage]])/Table1[[#This Row],[35 to 64 years]]</f>
        <v>0.78787878787878785</v>
      </c>
      <c r="AU89" s="9">
        <f>IFERROR(Table1[[#This Row],[Coverage Rate ( 35 to 64 years )]], 0)</f>
        <v>0.78787878787878785</v>
      </c>
      <c r="AV89" s="6">
        <v>39</v>
      </c>
      <c r="AW89" s="6">
        <v>35</v>
      </c>
      <c r="AX89" s="6">
        <v>4</v>
      </c>
      <c r="AY89" s="6">
        <v>0</v>
      </c>
      <c r="AZ89" s="6">
        <v>0</v>
      </c>
      <c r="BA89" s="6">
        <v>0</v>
      </c>
      <c r="BB89" s="6">
        <v>0</v>
      </c>
      <c r="BC89" s="6">
        <v>13</v>
      </c>
      <c r="BD89" s="6">
        <v>0</v>
      </c>
      <c r="BE89" s="6">
        <v>0</v>
      </c>
      <c r="BF89" s="6">
        <v>4</v>
      </c>
      <c r="BG89" s="6">
        <v>0</v>
      </c>
      <c r="BH89" s="6">
        <v>0</v>
      </c>
      <c r="BI89" s="6">
        <v>0</v>
      </c>
      <c r="BJ89" s="6">
        <v>9</v>
      </c>
      <c r="BK89" s="9">
        <f>SUM(Table1[[#This Row],[35 to 64 years - With one type of health insurance coverage]:[35 to 64 years - With two or more types of health insurance coverage &amp; Other coverage combinations]])/Table1[[#This Row],[Total]]</f>
        <v>0.44255319148936167</v>
      </c>
      <c r="BL89" s="9">
        <f>100%-Table1[[#This Row],[35 to 64 years - Penetration Rate]]</f>
        <v>0.55744680851063833</v>
      </c>
      <c r="BM89" s="6">
        <v>14</v>
      </c>
      <c r="BN89" s="6">
        <v>25</v>
      </c>
      <c r="BO89" s="6">
        <f>SUM(Table1[[#This Row],[65 years and over - With one type of health insurance coverage]:[65 years and over - With two or more types of health insurance coverage &amp; Other coverage combinations]])</f>
        <v>50</v>
      </c>
      <c r="BP89" s="9">
        <f>(Table1[[#This Row],[65 years and over]]-Table1[[#This Row],[65 years and over - No health insurance coverage]])/Table1[[#This Row],[65 years and over]]</f>
        <v>1</v>
      </c>
      <c r="BQ89" s="9">
        <f>IFERROR(Table1[[#This Row],[Coverage Rate ( 65 years and over )]], 0)</f>
        <v>1</v>
      </c>
      <c r="BR89" s="6">
        <v>4</v>
      </c>
      <c r="BS89" s="6">
        <v>0</v>
      </c>
      <c r="BT89" s="6">
        <v>0</v>
      </c>
      <c r="BU89" s="6">
        <v>4</v>
      </c>
      <c r="BV89" s="6">
        <v>0</v>
      </c>
      <c r="BW89" s="6">
        <v>0</v>
      </c>
      <c r="BX89" s="6">
        <v>21</v>
      </c>
      <c r="BY89" s="6">
        <v>0</v>
      </c>
      <c r="BZ89" s="6">
        <v>3</v>
      </c>
      <c r="CA89" s="6">
        <v>7</v>
      </c>
      <c r="CB89" s="6">
        <v>0</v>
      </c>
      <c r="CC89" s="6">
        <v>0</v>
      </c>
      <c r="CD89" s="6">
        <v>0</v>
      </c>
      <c r="CE89" s="6">
        <v>11</v>
      </c>
      <c r="CF89" s="9">
        <f>SUM(Table1[[#This Row],[65 years and over - With one type of health insurance coverage]:[65 years and over - With two or more types of health insurance coverage &amp; Other coverage combinations]])/Table1[[#This Row],[Total]]</f>
        <v>0.21276595744680851</v>
      </c>
      <c r="CG89" s="9">
        <f>100%-Table1[[#This Row],[65 years and over - Penetration Rate]]</f>
        <v>0.78723404255319152</v>
      </c>
      <c r="CH89" s="6">
        <v>0</v>
      </c>
      <c r="CI89" s="6"/>
    </row>
    <row r="90" spans="1:87" x14ac:dyDescent="0.35">
      <c r="A90" t="s">
        <v>95</v>
      </c>
      <c r="B90">
        <v>89</v>
      </c>
      <c r="C90" s="5">
        <v>1667</v>
      </c>
      <c r="D90" s="5">
        <v>219</v>
      </c>
      <c r="E90" s="5">
        <f>SUM(Table1[[#This Row],[Under 18 years - With one type of health insurance coverage]:[Under 18 years - With two or more types of health insurance coverage &amp; Other coverage combinations]])</f>
        <v>438</v>
      </c>
      <c r="F90" s="6">
        <v>158</v>
      </c>
      <c r="G90" s="6">
        <v>37</v>
      </c>
      <c r="H90" s="6">
        <v>0</v>
      </c>
      <c r="I90" s="6">
        <v>6</v>
      </c>
      <c r="J90" s="6">
        <v>115</v>
      </c>
      <c r="K90" s="6">
        <v>0</v>
      </c>
      <c r="L90" s="6">
        <v>0</v>
      </c>
      <c r="M90" s="6">
        <v>61</v>
      </c>
      <c r="N90" s="6">
        <v>3</v>
      </c>
      <c r="O90" s="6">
        <v>0</v>
      </c>
      <c r="P90" s="6">
        <v>27</v>
      </c>
      <c r="Q90" s="6">
        <v>0</v>
      </c>
      <c r="R90" s="6">
        <v>0</v>
      </c>
      <c r="S90" s="6">
        <v>31</v>
      </c>
      <c r="T90" s="9">
        <f>SUM(Table1[[#This Row],[Under 18 years - With one type of health insurance coverage]:[Under 18 years - With two or more types of health insurance coverage &amp; Other coverage combinations]])/Table1[[#This Row],[Total]]</f>
        <v>0.26274745050989801</v>
      </c>
      <c r="U90" s="9">
        <f>100%-Table1[[#This Row],[Under 18 years - Penetration Rate]]</f>
        <v>0.73725254949010199</v>
      </c>
      <c r="V90" s="6">
        <v>0</v>
      </c>
      <c r="W90" s="6">
        <v>919</v>
      </c>
      <c r="X90" s="6">
        <f>SUM(Table1[[#This Row],[18 to 34 years - With one type of health insurance coverage]:[18 to 34 years - With two or more types of health insurance coverage &amp; Other coverage combinations]])</f>
        <v>1662</v>
      </c>
      <c r="Y90" s="9">
        <f>(Table1[[#This Row],[18 to 34 years]] - Table1[[#This Row],[18 to 34 years - No health insurance coverage]]) / Table1[[#This Row],[18 to 34 years]]</f>
        <v>0.90424374319912948</v>
      </c>
      <c r="Z90" s="9">
        <f>IFERROR(Table1[[#This Row],[Coverage Rate ( 18 to 34 years )]], 0)</f>
        <v>0.90424374319912948</v>
      </c>
      <c r="AA90" s="6">
        <v>768</v>
      </c>
      <c r="AB90" s="6">
        <v>424</v>
      </c>
      <c r="AC90" s="6">
        <v>208</v>
      </c>
      <c r="AD90" s="6">
        <v>0</v>
      </c>
      <c r="AE90" s="6">
        <v>136</v>
      </c>
      <c r="AF90" s="6">
        <v>0</v>
      </c>
      <c r="AG90" s="6">
        <v>0</v>
      </c>
      <c r="AH90" s="6">
        <v>63</v>
      </c>
      <c r="AI90" s="6">
        <v>35</v>
      </c>
      <c r="AJ90" s="6">
        <v>0</v>
      </c>
      <c r="AK90" s="6">
        <v>22</v>
      </c>
      <c r="AL90" s="6">
        <v>0</v>
      </c>
      <c r="AM90" s="6">
        <v>0</v>
      </c>
      <c r="AN90" s="6">
        <v>6</v>
      </c>
      <c r="AO90" s="9">
        <f>SUM(Table1[[#This Row],[18 to 34 years - With one type of health insurance coverage]:[18 to 34 years - With two or more types of health insurance coverage &amp; Other coverage combinations]])/Table1[[#This Row],[Total]]</f>
        <v>0.99700059988002399</v>
      </c>
      <c r="AP90" s="9">
        <f>100%-Table1[[#This Row],[18 to 34 years - Penetration rate]]</f>
        <v>2.9994001199760145E-3</v>
      </c>
      <c r="AQ90" s="6">
        <v>88</v>
      </c>
      <c r="AR90" s="6">
        <v>388</v>
      </c>
      <c r="AS90" s="6">
        <f>SUM(Table1[[#This Row],[35 to 64 years - With one type of health insurance coverage]:[35 to 64 years - With two or more types of health insurance coverage &amp; Other coverage combinations]])</f>
        <v>652</v>
      </c>
      <c r="AT90" s="9">
        <f>(Table1[[#This Row],[35 to 64 years]]-Table1[[#This Row],[35 to 64 years - No health insurance coverage]])/Table1[[#This Row],[35 to 64 years]]</f>
        <v>0.84020618556701032</v>
      </c>
      <c r="AU90" s="9">
        <f>IFERROR(Table1[[#This Row],[Coverage Rate ( 35 to 64 years )]], 0)</f>
        <v>0.84020618556701032</v>
      </c>
      <c r="AV90" s="6">
        <v>274</v>
      </c>
      <c r="AW90" s="6">
        <v>104</v>
      </c>
      <c r="AX90" s="6">
        <v>25</v>
      </c>
      <c r="AY90" s="6">
        <v>11</v>
      </c>
      <c r="AZ90" s="6">
        <v>127</v>
      </c>
      <c r="BA90" s="6">
        <v>7</v>
      </c>
      <c r="BB90" s="6">
        <v>0</v>
      </c>
      <c r="BC90" s="6">
        <v>52</v>
      </c>
      <c r="BD90" s="6">
        <v>0</v>
      </c>
      <c r="BE90" s="6">
        <v>0</v>
      </c>
      <c r="BF90" s="6">
        <v>0</v>
      </c>
      <c r="BG90" s="6">
        <v>0</v>
      </c>
      <c r="BH90" s="6">
        <v>0</v>
      </c>
      <c r="BI90" s="6">
        <v>0</v>
      </c>
      <c r="BJ90" s="6">
        <v>52</v>
      </c>
      <c r="BK90" s="9">
        <f>SUM(Table1[[#This Row],[35 to 64 years - With one type of health insurance coverage]:[35 to 64 years - With two or more types of health insurance coverage &amp; Other coverage combinations]])/Table1[[#This Row],[Total]]</f>
        <v>0.39112177564487105</v>
      </c>
      <c r="BL90" s="9">
        <f>100%-Table1[[#This Row],[35 to 64 years - Penetration Rate]]</f>
        <v>0.60887822435512895</v>
      </c>
      <c r="BM90" s="6">
        <v>62</v>
      </c>
      <c r="BN90" s="6">
        <v>141</v>
      </c>
      <c r="BO90" s="6">
        <f>SUM(Table1[[#This Row],[65 years and over - With one type of health insurance coverage]:[65 years and over - With two or more types of health insurance coverage &amp; Other coverage combinations]])</f>
        <v>282</v>
      </c>
      <c r="BP90" s="9">
        <f>(Table1[[#This Row],[65 years and over]]-Table1[[#This Row],[65 years and over - No health insurance coverage]])/Table1[[#This Row],[65 years and over]]</f>
        <v>1</v>
      </c>
      <c r="BQ90" s="9">
        <f>IFERROR(Table1[[#This Row],[Coverage Rate ( 65 years and over )]], 0)</f>
        <v>1</v>
      </c>
      <c r="BR90" s="6">
        <v>21</v>
      </c>
      <c r="BS90" s="6">
        <v>0</v>
      </c>
      <c r="BT90" s="6">
        <v>0</v>
      </c>
      <c r="BU90" s="6">
        <v>21</v>
      </c>
      <c r="BV90" s="6">
        <v>0</v>
      </c>
      <c r="BW90" s="6">
        <v>0</v>
      </c>
      <c r="BX90" s="6">
        <v>120</v>
      </c>
      <c r="BY90" s="6">
        <v>0</v>
      </c>
      <c r="BZ90" s="6">
        <v>24</v>
      </c>
      <c r="CA90" s="6">
        <v>36</v>
      </c>
      <c r="CB90" s="6">
        <v>0</v>
      </c>
      <c r="CC90" s="6">
        <v>0</v>
      </c>
      <c r="CD90" s="6">
        <v>0</v>
      </c>
      <c r="CE90" s="6">
        <v>60</v>
      </c>
      <c r="CF90" s="9">
        <f>SUM(Table1[[#This Row],[65 years and over - With one type of health insurance coverage]:[65 years and over - With two or more types of health insurance coverage &amp; Other coverage combinations]])/Table1[[#This Row],[Total]]</f>
        <v>0.16916616676664667</v>
      </c>
      <c r="CG90" s="9">
        <f>100%-Table1[[#This Row],[65 years and over - Penetration Rate]]</f>
        <v>0.83083383323335336</v>
      </c>
      <c r="CH90" s="6">
        <v>0</v>
      </c>
      <c r="CI90" s="6"/>
    </row>
    <row r="91" spans="1:87" x14ac:dyDescent="0.35">
      <c r="A91" t="s">
        <v>96</v>
      </c>
      <c r="B91">
        <v>90</v>
      </c>
      <c r="C91" s="5">
        <v>3511</v>
      </c>
      <c r="D91" s="5">
        <v>732</v>
      </c>
      <c r="E91" s="5">
        <f>SUM(Table1[[#This Row],[Under 18 years - With one type of health insurance coverage]:[Under 18 years - With two or more types of health insurance coverage &amp; Other coverage combinations]])</f>
        <v>1206</v>
      </c>
      <c r="F91" s="6">
        <v>568</v>
      </c>
      <c r="G91" s="6">
        <v>342</v>
      </c>
      <c r="H91" s="6">
        <v>0</v>
      </c>
      <c r="I91" s="6">
        <v>0</v>
      </c>
      <c r="J91" s="6">
        <v>226</v>
      </c>
      <c r="K91" s="6">
        <v>0</v>
      </c>
      <c r="L91" s="6">
        <v>0</v>
      </c>
      <c r="M91" s="6">
        <v>35</v>
      </c>
      <c r="N91" s="6">
        <v>0</v>
      </c>
      <c r="O91" s="6">
        <v>0</v>
      </c>
      <c r="P91" s="6">
        <v>0</v>
      </c>
      <c r="Q91" s="6">
        <v>0</v>
      </c>
      <c r="R91" s="6">
        <v>0</v>
      </c>
      <c r="S91" s="6">
        <v>35</v>
      </c>
      <c r="T91" s="9">
        <f>SUM(Table1[[#This Row],[Under 18 years - With one type of health insurance coverage]:[Under 18 years - With two or more types of health insurance coverage &amp; Other coverage combinations]])/Table1[[#This Row],[Total]]</f>
        <v>0.34349188265451436</v>
      </c>
      <c r="U91" s="9">
        <f>100%-Table1[[#This Row],[Under 18 years - Penetration Rate]]</f>
        <v>0.65650811734548564</v>
      </c>
      <c r="V91" s="6">
        <v>129</v>
      </c>
      <c r="W91" s="6">
        <v>902</v>
      </c>
      <c r="X91" s="6">
        <f>SUM(Table1[[#This Row],[18 to 34 years - With one type of health insurance coverage]:[18 to 34 years - With two or more types of health insurance coverage &amp; Other coverage combinations]])</f>
        <v>1388</v>
      </c>
      <c r="Y91" s="9">
        <f>(Table1[[#This Row],[18 to 34 years]] - Table1[[#This Row],[18 to 34 years - No health insurance coverage]]) / Table1[[#This Row],[18 to 34 years]]</f>
        <v>0.76940133037694014</v>
      </c>
      <c r="Z91" s="9">
        <f>IFERROR(Table1[[#This Row],[Coverage Rate ( 18 to 34 years )]], 0)</f>
        <v>0.76940133037694014</v>
      </c>
      <c r="AA91" s="6">
        <v>676</v>
      </c>
      <c r="AB91" s="6">
        <v>457</v>
      </c>
      <c r="AC91" s="6">
        <v>76</v>
      </c>
      <c r="AD91" s="6">
        <v>0</v>
      </c>
      <c r="AE91" s="6">
        <v>143</v>
      </c>
      <c r="AF91" s="6">
        <v>0</v>
      </c>
      <c r="AG91" s="6">
        <v>0</v>
      </c>
      <c r="AH91" s="6">
        <v>18</v>
      </c>
      <c r="AI91" s="6">
        <v>18</v>
      </c>
      <c r="AJ91" s="6">
        <v>0</v>
      </c>
      <c r="AK91" s="6">
        <v>0</v>
      </c>
      <c r="AL91" s="6">
        <v>0</v>
      </c>
      <c r="AM91" s="6">
        <v>0</v>
      </c>
      <c r="AN91" s="6">
        <v>0</v>
      </c>
      <c r="AO91" s="9">
        <f>SUM(Table1[[#This Row],[18 to 34 years - With one type of health insurance coverage]:[18 to 34 years - With two or more types of health insurance coverage &amp; Other coverage combinations]])/Table1[[#This Row],[Total]]</f>
        <v>0.39532896610652235</v>
      </c>
      <c r="AP91" s="9">
        <f>100%-Table1[[#This Row],[18 to 34 years - Penetration rate]]</f>
        <v>0.60467103389347765</v>
      </c>
      <c r="AQ91" s="6">
        <v>208</v>
      </c>
      <c r="AR91" s="6">
        <v>1402</v>
      </c>
      <c r="AS91" s="6">
        <f>SUM(Table1[[#This Row],[35 to 64 years - With one type of health insurance coverage]:[35 to 64 years - With two or more types of health insurance coverage &amp; Other coverage combinations]])</f>
        <v>2430</v>
      </c>
      <c r="AT91" s="9">
        <f>(Table1[[#This Row],[35 to 64 years]]-Table1[[#This Row],[35 to 64 years - No health insurance coverage]])/Table1[[#This Row],[35 to 64 years]]</f>
        <v>0.86661911554921545</v>
      </c>
      <c r="AU91" s="9">
        <f>IFERROR(Table1[[#This Row],[Coverage Rate ( 35 to 64 years )]], 0)</f>
        <v>0.86661911554921545</v>
      </c>
      <c r="AV91" s="6">
        <v>1144</v>
      </c>
      <c r="AW91" s="6">
        <v>909</v>
      </c>
      <c r="AX91" s="6">
        <v>122</v>
      </c>
      <c r="AY91" s="6">
        <v>34</v>
      </c>
      <c r="AZ91" s="6">
        <v>79</v>
      </c>
      <c r="BA91" s="6">
        <v>0</v>
      </c>
      <c r="BB91" s="6">
        <v>0</v>
      </c>
      <c r="BC91" s="6">
        <v>71</v>
      </c>
      <c r="BD91" s="6">
        <v>8</v>
      </c>
      <c r="BE91" s="6">
        <v>0</v>
      </c>
      <c r="BF91" s="6">
        <v>20</v>
      </c>
      <c r="BG91" s="6">
        <v>12</v>
      </c>
      <c r="BH91" s="6">
        <v>0</v>
      </c>
      <c r="BI91" s="6">
        <v>0</v>
      </c>
      <c r="BJ91" s="6">
        <v>31</v>
      </c>
      <c r="BK91" s="9">
        <f>SUM(Table1[[#This Row],[35 to 64 years - With one type of health insurance coverage]:[35 to 64 years - With two or more types of health insurance coverage &amp; Other coverage combinations]])/Table1[[#This Row],[Total]]</f>
        <v>0.69211050982626032</v>
      </c>
      <c r="BL91" s="9">
        <f>100%-Table1[[#This Row],[35 to 64 years - Penetration Rate]]</f>
        <v>0.30788949017373968</v>
      </c>
      <c r="BM91" s="6">
        <v>187</v>
      </c>
      <c r="BN91" s="6">
        <v>475</v>
      </c>
      <c r="BO91" s="6">
        <f>SUM(Table1[[#This Row],[65 years and over - With one type of health insurance coverage]:[65 years and over - With two or more types of health insurance coverage &amp; Other coverage combinations]])</f>
        <v>950</v>
      </c>
      <c r="BP91" s="9">
        <f>(Table1[[#This Row],[65 years and over]]-Table1[[#This Row],[65 years and over - No health insurance coverage]])/Table1[[#This Row],[65 years and over]]</f>
        <v>1</v>
      </c>
      <c r="BQ91" s="9">
        <f>IFERROR(Table1[[#This Row],[Coverage Rate ( 65 years and over )]], 0)</f>
        <v>1</v>
      </c>
      <c r="BR91" s="6">
        <v>110</v>
      </c>
      <c r="BS91" s="6">
        <v>11</v>
      </c>
      <c r="BT91" s="6">
        <v>0</v>
      </c>
      <c r="BU91" s="6">
        <v>99</v>
      </c>
      <c r="BV91" s="6">
        <v>0</v>
      </c>
      <c r="BW91" s="6">
        <v>0</v>
      </c>
      <c r="BX91" s="6">
        <v>365</v>
      </c>
      <c r="BY91" s="6">
        <v>0</v>
      </c>
      <c r="BZ91" s="6">
        <v>67</v>
      </c>
      <c r="CA91" s="6">
        <v>158</v>
      </c>
      <c r="CB91" s="6">
        <v>9</v>
      </c>
      <c r="CC91" s="6">
        <v>0</v>
      </c>
      <c r="CD91" s="6">
        <v>40</v>
      </c>
      <c r="CE91" s="6">
        <v>91</v>
      </c>
      <c r="CF91" s="9">
        <f>SUM(Table1[[#This Row],[65 years and over - With one type of health insurance coverage]:[65 years and over - With two or more types of health insurance coverage &amp; Other coverage combinations]])/Table1[[#This Row],[Total]]</f>
        <v>0.27057818285388779</v>
      </c>
      <c r="CG91" s="9">
        <f>100%-Table1[[#This Row],[65 years and over - Penetration Rate]]</f>
        <v>0.72942181714611221</v>
      </c>
      <c r="CH91" s="6">
        <v>0</v>
      </c>
      <c r="CI91" s="6"/>
    </row>
    <row r="92" spans="1:87" x14ac:dyDescent="0.35">
      <c r="A92" t="s">
        <v>97</v>
      </c>
      <c r="B92">
        <v>91</v>
      </c>
      <c r="C92" s="5">
        <v>1534</v>
      </c>
      <c r="D92" s="5">
        <v>321</v>
      </c>
      <c r="E92" s="5">
        <f>SUM(Table1[[#This Row],[Under 18 years - With one type of health insurance coverage]:[Under 18 years - With two or more types of health insurance coverage &amp; Other coverage combinations]])</f>
        <v>642</v>
      </c>
      <c r="F92" s="6">
        <v>261</v>
      </c>
      <c r="G92" s="6">
        <v>146</v>
      </c>
      <c r="H92" s="6">
        <v>18</v>
      </c>
      <c r="I92" s="6">
        <v>0</v>
      </c>
      <c r="J92" s="6">
        <v>97</v>
      </c>
      <c r="K92" s="6">
        <v>0</v>
      </c>
      <c r="L92" s="6">
        <v>0</v>
      </c>
      <c r="M92" s="6">
        <v>60</v>
      </c>
      <c r="N92" s="6">
        <v>0</v>
      </c>
      <c r="O92" s="6">
        <v>0</v>
      </c>
      <c r="P92" s="6">
        <v>0</v>
      </c>
      <c r="Q92" s="6">
        <v>0</v>
      </c>
      <c r="R92" s="6">
        <v>0</v>
      </c>
      <c r="S92" s="6">
        <v>60</v>
      </c>
      <c r="T92" s="9">
        <f>SUM(Table1[[#This Row],[Under 18 years - With one type of health insurance coverage]:[Under 18 years - With two or more types of health insurance coverage &amp; Other coverage combinations]])/Table1[[#This Row],[Total]]</f>
        <v>0.41851368970013036</v>
      </c>
      <c r="U92" s="9">
        <f>100%-Table1[[#This Row],[Under 18 years - Penetration Rate]]</f>
        <v>0.58148631029986964</v>
      </c>
      <c r="V92" s="6">
        <v>0</v>
      </c>
      <c r="W92" s="6">
        <v>335</v>
      </c>
      <c r="X92" s="6">
        <f>SUM(Table1[[#This Row],[18 to 34 years - With one type of health insurance coverage]:[18 to 34 years - With two or more types of health insurance coverage &amp; Other coverage combinations]])</f>
        <v>634</v>
      </c>
      <c r="Y92" s="9">
        <f>(Table1[[#This Row],[18 to 34 years]] - Table1[[#This Row],[18 to 34 years - No health insurance coverage]]) / Table1[[#This Row],[18 to 34 years]]</f>
        <v>0.94626865671641791</v>
      </c>
      <c r="Z92" s="9">
        <f>IFERROR(Table1[[#This Row],[Coverage Rate ( 18 to 34 years )]], 0)</f>
        <v>0.94626865671641791</v>
      </c>
      <c r="AA92" s="6">
        <v>263</v>
      </c>
      <c r="AB92" s="6">
        <v>239</v>
      </c>
      <c r="AC92" s="6">
        <v>24</v>
      </c>
      <c r="AD92" s="6">
        <v>0</v>
      </c>
      <c r="AE92" s="6">
        <v>0</v>
      </c>
      <c r="AF92" s="6">
        <v>0</v>
      </c>
      <c r="AG92" s="6">
        <v>0</v>
      </c>
      <c r="AH92" s="6">
        <v>54</v>
      </c>
      <c r="AI92" s="6">
        <v>0</v>
      </c>
      <c r="AJ92" s="6">
        <v>0</v>
      </c>
      <c r="AK92" s="6">
        <v>0</v>
      </c>
      <c r="AL92" s="6">
        <v>0</v>
      </c>
      <c r="AM92" s="6">
        <v>0</v>
      </c>
      <c r="AN92" s="6">
        <v>54</v>
      </c>
      <c r="AO92" s="9">
        <f>SUM(Table1[[#This Row],[18 to 34 years - With one type of health insurance coverage]:[18 to 34 years - With two or more types of health insurance coverage &amp; Other coverage combinations]])/Table1[[#This Row],[Total]]</f>
        <v>0.41329856584093871</v>
      </c>
      <c r="AP92" s="9">
        <f>100%-Table1[[#This Row],[18 to 34 years - Penetration rate]]</f>
        <v>0.58670143415906129</v>
      </c>
      <c r="AQ92" s="6">
        <v>18</v>
      </c>
      <c r="AR92" s="6">
        <v>589</v>
      </c>
      <c r="AS92" s="6">
        <f>SUM(Table1[[#This Row],[35 to 64 years - With one type of health insurance coverage]:[35 to 64 years - With two or more types of health insurance coverage &amp; Other coverage combinations]])</f>
        <v>1140</v>
      </c>
      <c r="AT92" s="9">
        <f>(Table1[[#This Row],[35 to 64 years]]-Table1[[#This Row],[35 to 64 years - No health insurance coverage]])/Table1[[#This Row],[35 to 64 years]]</f>
        <v>0.967741935483871</v>
      </c>
      <c r="AU92" s="9">
        <f>IFERROR(Table1[[#This Row],[Coverage Rate ( 35 to 64 years )]], 0)</f>
        <v>0.967741935483871</v>
      </c>
      <c r="AV92" s="6">
        <v>453</v>
      </c>
      <c r="AW92" s="6">
        <v>344</v>
      </c>
      <c r="AX92" s="6">
        <v>19</v>
      </c>
      <c r="AY92" s="6">
        <v>0</v>
      </c>
      <c r="AZ92" s="6">
        <v>86</v>
      </c>
      <c r="BA92" s="6">
        <v>4</v>
      </c>
      <c r="BB92" s="6">
        <v>0</v>
      </c>
      <c r="BC92" s="6">
        <v>117</v>
      </c>
      <c r="BD92" s="6">
        <v>15</v>
      </c>
      <c r="BE92" s="6">
        <v>16</v>
      </c>
      <c r="BF92" s="6">
        <v>0</v>
      </c>
      <c r="BG92" s="6">
        <v>7</v>
      </c>
      <c r="BH92" s="6">
        <v>5</v>
      </c>
      <c r="BI92" s="6">
        <v>0</v>
      </c>
      <c r="BJ92" s="6">
        <v>74</v>
      </c>
      <c r="BK92" s="9">
        <f>SUM(Table1[[#This Row],[35 to 64 years - With one type of health insurance coverage]:[35 to 64 years - With two or more types of health insurance coverage &amp; Other coverage combinations]])/Table1[[#This Row],[Total]]</f>
        <v>0.74315514993481091</v>
      </c>
      <c r="BL92" s="9">
        <f>100%-Table1[[#This Row],[35 to 64 years - Penetration Rate]]</f>
        <v>0.25684485006518909</v>
      </c>
      <c r="BM92" s="6">
        <v>19</v>
      </c>
      <c r="BN92" s="6">
        <v>289</v>
      </c>
      <c r="BO92" s="6">
        <f>SUM(Table1[[#This Row],[65 years and over - With one type of health insurance coverage]:[65 years and over - With two or more types of health insurance coverage &amp; Other coverage combinations]])</f>
        <v>578</v>
      </c>
      <c r="BP92" s="9">
        <f>(Table1[[#This Row],[65 years and over]]-Table1[[#This Row],[65 years and over - No health insurance coverage]])/Table1[[#This Row],[65 years and over]]</f>
        <v>1</v>
      </c>
      <c r="BQ92" s="9">
        <f>IFERROR(Table1[[#This Row],[Coverage Rate ( 65 years and over )]], 0)</f>
        <v>1</v>
      </c>
      <c r="BR92" s="6">
        <v>49</v>
      </c>
      <c r="BS92" s="6">
        <v>0</v>
      </c>
      <c r="BT92" s="6">
        <v>0</v>
      </c>
      <c r="BU92" s="6">
        <v>49</v>
      </c>
      <c r="BV92" s="6">
        <v>0</v>
      </c>
      <c r="BW92" s="6">
        <v>0</v>
      </c>
      <c r="BX92" s="6">
        <v>240</v>
      </c>
      <c r="BY92" s="6">
        <v>0</v>
      </c>
      <c r="BZ92" s="6">
        <v>47</v>
      </c>
      <c r="CA92" s="6">
        <v>129</v>
      </c>
      <c r="CB92" s="6">
        <v>0</v>
      </c>
      <c r="CC92" s="6">
        <v>0</v>
      </c>
      <c r="CD92" s="6">
        <v>0</v>
      </c>
      <c r="CE92" s="6">
        <v>64</v>
      </c>
      <c r="CF92" s="9">
        <f>SUM(Table1[[#This Row],[65 years and over - With one type of health insurance coverage]:[65 years and over - With two or more types of health insurance coverage &amp; Other coverage combinations]])/Table1[[#This Row],[Total]]</f>
        <v>0.37679269882659711</v>
      </c>
      <c r="CG92" s="9">
        <f>100%-Table1[[#This Row],[65 years and over - Penetration Rate]]</f>
        <v>0.62320730117340295</v>
      </c>
      <c r="CH92" s="6">
        <v>0</v>
      </c>
      <c r="CI92" s="6"/>
    </row>
    <row r="93" spans="1:87" x14ac:dyDescent="0.35">
      <c r="B93">
        <f>SUBTOTAL(103,Table1[Id])</f>
        <v>91</v>
      </c>
      <c r="C93" s="14">
        <f>SUBTOTAL(109,Table1[Total])</f>
        <v>301966</v>
      </c>
      <c r="E93" s="14">
        <f>SUBTOTAL(109,Table1[Total Insured Under 18 years])</f>
        <v>95710</v>
      </c>
      <c r="F93" s="1"/>
      <c r="G93" s="1"/>
      <c r="H93" s="1"/>
      <c r="I93" s="1"/>
      <c r="J93" s="1"/>
      <c r="K93" s="1"/>
      <c r="L93" s="1"/>
      <c r="M93" s="1"/>
      <c r="N93" s="1"/>
      <c r="O93" s="1"/>
      <c r="P93" s="1"/>
      <c r="Q93" s="1"/>
      <c r="R93" s="1"/>
      <c r="S93" s="1"/>
      <c r="T93" s="1"/>
      <c r="U93" s="1"/>
      <c r="V93" s="1"/>
      <c r="W93" s="1"/>
      <c r="X93" s="1">
        <f>SUBTOTAL(109,Table1[Total Insured Under 18 to 34 years])</f>
        <v>194876</v>
      </c>
      <c r="Y93" s="13"/>
      <c r="Z93" s="15"/>
      <c r="AA93" s="1"/>
      <c r="AB93" s="1"/>
      <c r="AC93" s="1"/>
      <c r="AD93" s="1"/>
      <c r="AE93" s="1"/>
      <c r="AF93" s="1"/>
      <c r="AG93" s="1"/>
      <c r="AH93" s="1"/>
      <c r="AI93" s="1"/>
      <c r="AJ93" s="1"/>
      <c r="AK93" s="1"/>
      <c r="AL93" s="1"/>
      <c r="AM93" s="1"/>
      <c r="AN93" s="1"/>
      <c r="AO93" s="1"/>
      <c r="AP93" s="1"/>
      <c r="AQ93" s="1"/>
      <c r="AR93" s="1"/>
      <c r="AS93" s="1">
        <f>SUBTOTAL(109,Table1[Total Insured Under 35 to 64 years])</f>
        <v>177420</v>
      </c>
      <c r="AT93" s="9"/>
      <c r="AU93" s="15"/>
      <c r="AV93" s="1"/>
      <c r="AW93" s="1"/>
      <c r="AX93" s="1"/>
      <c r="AY93" s="1"/>
      <c r="AZ93" s="1"/>
      <c r="BA93" s="1"/>
      <c r="BB93" s="1"/>
      <c r="BC93" s="1"/>
      <c r="BD93" s="1"/>
      <c r="BE93" s="1"/>
      <c r="BF93" s="1"/>
      <c r="BG93" s="1"/>
      <c r="BH93" s="1"/>
      <c r="BI93" s="1"/>
      <c r="BJ93" s="1"/>
      <c r="BK93" s="1"/>
      <c r="BL93" s="1"/>
      <c r="BM93" s="1"/>
      <c r="BN93" s="1"/>
      <c r="BO93" s="1">
        <f>SUBTOTAL(109,Table1[Total Insured Under 65 years and over])</f>
        <v>81584</v>
      </c>
      <c r="BP93" s="9"/>
      <c r="BQ93" s="15"/>
      <c r="BR93" s="1"/>
      <c r="BS93" s="1"/>
      <c r="BT93" s="1"/>
      <c r="BU93" s="1"/>
      <c r="BV93" s="1"/>
      <c r="BW93" s="1"/>
      <c r="BX93" s="1"/>
      <c r="BY93" s="1"/>
      <c r="BZ93" s="1"/>
      <c r="CA93" s="1"/>
      <c r="CB93" s="1"/>
      <c r="CC93" s="1"/>
      <c r="CD93" s="1"/>
      <c r="CE93" s="1"/>
      <c r="CF93" s="1"/>
      <c r="CG93" s="1"/>
      <c r="CH93" s="1"/>
      <c r="CI93" s="1">
        <f>SUM(Table1[[#Totals],[Total Insured Under 18 years]:[65 years and over - No health insurance coverage]])</f>
        <v>549590</v>
      </c>
    </row>
    <row r="1048573" spans="3:86" x14ac:dyDescent="0.35">
      <c r="C1048573">
        <f>SUM(C2:C1048572)</f>
        <v>603932</v>
      </c>
      <c r="F1048573" s="1"/>
      <c r="G1048573" s="1"/>
      <c r="H1048573" s="1"/>
      <c r="I1048573" s="1"/>
      <c r="J1048573" s="1"/>
      <c r="K1048573" s="1"/>
      <c r="L1048573" s="1"/>
      <c r="M1048573" s="1"/>
      <c r="N1048573" s="1"/>
      <c r="O1048573" s="1"/>
      <c r="P1048573" s="1"/>
      <c r="Q1048573" s="1"/>
      <c r="R1048573" s="1"/>
      <c r="S1048573" s="1"/>
      <c r="T1048573" s="9"/>
      <c r="U1048573" s="9"/>
      <c r="V1048573" s="1"/>
      <c r="W1048573" s="1"/>
      <c r="X1048573" s="1"/>
      <c r="Y1048573" s="9"/>
      <c r="Z1048573" s="9"/>
      <c r="AA1048573" s="1"/>
      <c r="AB1048573" s="1"/>
      <c r="AC1048573" s="1"/>
      <c r="AD1048573" s="1"/>
      <c r="AE1048573" s="1"/>
      <c r="AF1048573" s="1"/>
      <c r="AG1048573" s="1"/>
      <c r="AH1048573" s="1"/>
      <c r="AI1048573" s="1"/>
      <c r="AJ1048573" s="1"/>
      <c r="AK1048573" s="1"/>
      <c r="AL1048573" s="1"/>
      <c r="AM1048573" s="1"/>
      <c r="AN1048573" s="1"/>
      <c r="AO1048573" s="9"/>
      <c r="AP1048573" s="9"/>
      <c r="AQ1048573" s="1"/>
      <c r="AR1048573" s="1"/>
      <c r="AS1048573" s="1"/>
      <c r="AT1048573" s="9"/>
      <c r="AU1048573" s="9"/>
      <c r="AV1048573" s="1"/>
      <c r="AW1048573" s="1"/>
      <c r="AX1048573" s="1"/>
      <c r="AY1048573" s="1"/>
      <c r="AZ1048573" s="1"/>
      <c r="BA1048573" s="1"/>
      <c r="BB1048573" s="1"/>
      <c r="BC1048573" s="1"/>
      <c r="BD1048573" s="1"/>
      <c r="BE1048573" s="1"/>
      <c r="BF1048573" s="1"/>
      <c r="BG1048573" s="1"/>
      <c r="BH1048573" s="1"/>
      <c r="BI1048573" s="1"/>
      <c r="BJ1048573" s="1"/>
      <c r="BK1048573" s="9"/>
      <c r="BL1048573" s="9"/>
      <c r="BM1048573" s="1"/>
      <c r="BN1048573" s="1"/>
      <c r="BO1048573" s="1"/>
      <c r="BP1048573" s="9"/>
      <c r="BQ1048573" s="9"/>
      <c r="BR1048573" s="1"/>
      <c r="BS1048573" s="1"/>
      <c r="BT1048573" s="1"/>
      <c r="BU1048573" s="1"/>
      <c r="BV1048573" s="1"/>
      <c r="BW1048573" s="1"/>
      <c r="BX1048573" s="1"/>
      <c r="BY1048573" s="1"/>
      <c r="BZ1048573" s="1"/>
      <c r="CA1048573" s="1"/>
      <c r="CB1048573" s="1"/>
      <c r="CC1048573" s="1"/>
      <c r="CD1048573" s="1"/>
      <c r="CE1048573" s="1"/>
      <c r="CF1048573" s="9"/>
      <c r="CG1048573" s="9"/>
      <c r="CH1048573" s="1"/>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4F6C-3541-4448-AA0D-ADAA6A01D9C5}">
  <dimension ref="A1:BA385"/>
  <sheetViews>
    <sheetView topLeftCell="AO1" zoomScale="86" zoomScaleNormal="86" workbookViewId="0">
      <selection activeCell="BE12" sqref="BE12"/>
    </sheetView>
  </sheetViews>
  <sheetFormatPr defaultRowHeight="14.5" x14ac:dyDescent="0.35"/>
  <cols>
    <col min="1" max="1" width="16.36328125" bestFit="1" customWidth="1"/>
    <col min="2" max="2" width="39.7265625" bestFit="1" customWidth="1"/>
    <col min="3" max="5" width="4.08984375" bestFit="1" customWidth="1"/>
    <col min="6" max="6" width="21.6328125" customWidth="1"/>
    <col min="7" max="7" width="30.08984375" customWidth="1"/>
    <col min="8" max="8" width="32.54296875" customWidth="1"/>
    <col min="9" max="9" width="4.08984375" bestFit="1" customWidth="1"/>
    <col min="10" max="10" width="5.08984375" bestFit="1" customWidth="1"/>
    <col min="11" max="11" width="7.453125" customWidth="1"/>
    <col min="12" max="12" width="15.453125" bestFit="1" customWidth="1"/>
    <col min="13" max="13" width="40.81640625" bestFit="1" customWidth="1"/>
    <col min="14" max="16" width="5.08984375" bestFit="1" customWidth="1"/>
    <col min="17" max="17" width="13.36328125" customWidth="1"/>
    <col min="18" max="18" width="27.54296875" customWidth="1"/>
    <col min="19" max="25" width="5.08984375" bestFit="1" customWidth="1"/>
    <col min="26" max="26" width="15.453125" bestFit="1" customWidth="1"/>
    <col min="27" max="27" width="37" bestFit="1" customWidth="1"/>
    <col min="28" max="31" width="5.08984375" bestFit="1" customWidth="1"/>
    <col min="32" max="32" width="17.1796875" customWidth="1"/>
    <col min="33" max="33" width="24.6328125" customWidth="1"/>
    <col min="34" max="34" width="24.1796875" customWidth="1"/>
    <col min="35" max="38" width="5.08984375" bestFit="1" customWidth="1"/>
    <col min="39" max="39" width="32.453125" customWidth="1"/>
    <col min="40" max="40" width="38.90625" customWidth="1"/>
    <col min="41" max="41" width="35.453125" customWidth="1"/>
    <col min="42" max="44" width="5.08984375" bestFit="1" customWidth="1"/>
    <col min="45" max="45" width="5.08984375" customWidth="1"/>
    <col min="46" max="46" width="5.08984375" bestFit="1" customWidth="1"/>
    <col min="47" max="47" width="22.81640625" bestFit="1" customWidth="1"/>
    <col min="48" max="48" width="11.36328125" bestFit="1" customWidth="1"/>
    <col min="49" max="49" width="10.1796875" bestFit="1" customWidth="1"/>
    <col min="50" max="50" width="5.08984375" bestFit="1" customWidth="1"/>
    <col min="51" max="51" width="5.81640625" bestFit="1" customWidth="1"/>
    <col min="52" max="52" width="17.90625" customWidth="1"/>
    <col min="53" max="53" width="22.453125" customWidth="1"/>
    <col min="54" max="55" width="5.08984375" bestFit="1" customWidth="1"/>
    <col min="56" max="71" width="6.6328125" bestFit="1" customWidth="1"/>
    <col min="72" max="72" width="7.6328125" bestFit="1" customWidth="1"/>
    <col min="73" max="73" width="12" bestFit="1" customWidth="1"/>
    <col min="74" max="74" width="3.81640625" bestFit="1" customWidth="1"/>
    <col min="75" max="77" width="4.81640625" bestFit="1" customWidth="1"/>
    <col min="78" max="78" width="6.81640625" bestFit="1" customWidth="1"/>
    <col min="79" max="79" width="10.7265625" bestFit="1" customWidth="1"/>
  </cols>
  <sheetData>
    <row r="1" spans="1:53" ht="29" x14ac:dyDescent="0.35">
      <c r="A1" s="7" t="s">
        <v>0</v>
      </c>
      <c r="B1" s="12" t="s">
        <v>203</v>
      </c>
      <c r="F1" s="1" t="s">
        <v>190</v>
      </c>
      <c r="G1" s="1" t="s">
        <v>191</v>
      </c>
      <c r="H1" s="1" t="s">
        <v>192</v>
      </c>
      <c r="L1" s="7" t="s">
        <v>0</v>
      </c>
      <c r="M1" t="s">
        <v>203</v>
      </c>
      <c r="Q1" s="16" t="s">
        <v>190</v>
      </c>
      <c r="R1" s="18" t="s">
        <v>192</v>
      </c>
      <c r="Z1" s="7" t="s">
        <v>0</v>
      </c>
      <c r="AA1" t="s">
        <v>203</v>
      </c>
      <c r="AF1" s="16" t="s">
        <v>190</v>
      </c>
      <c r="AG1" s="17" t="s">
        <v>191</v>
      </c>
      <c r="AH1" s="18" t="s">
        <v>197</v>
      </c>
      <c r="AM1" s="26" t="s">
        <v>200</v>
      </c>
      <c r="AN1" s="27" t="s">
        <v>201</v>
      </c>
      <c r="AO1" s="28" t="s">
        <v>202</v>
      </c>
      <c r="AU1" s="7" t="s">
        <v>0</v>
      </c>
      <c r="AV1" t="s">
        <v>206</v>
      </c>
      <c r="AW1" t="s">
        <v>207</v>
      </c>
      <c r="AZ1" s="16" t="s">
        <v>208</v>
      </c>
      <c r="BA1" s="18" t="s">
        <v>192</v>
      </c>
    </row>
    <row r="2" spans="1:53" x14ac:dyDescent="0.35">
      <c r="F2" t="s">
        <v>194</v>
      </c>
      <c r="G2" s="10">
        <f t="shared" ref="G2" si="0">GETPIVOTDATA("Under 18 years - Penetration Rate",$A$3)</f>
        <v>0.3355245014534487</v>
      </c>
      <c r="Q2" s="19" t="s">
        <v>194</v>
      </c>
      <c r="R2" s="20"/>
      <c r="AF2" s="19" t="s">
        <v>194</v>
      </c>
      <c r="AG2" s="24">
        <f t="shared" ref="AG2" si="1">GETPIVOTDATA("Under 18 years - Penetration Rate",$A$3)</f>
        <v>0.3355245014534487</v>
      </c>
      <c r="AH2" s="23">
        <f>GETPIVOTDATA("Under 18 years - Uninsured Rate",$Z$3)</f>
        <v>0.66447549854655141</v>
      </c>
      <c r="AM2" s="29">
        <f>AVERAGE(GETPIVOTDATA("Real Coverage Rate ( 18 to 34 years )",$L$3),GETPIVOTDATA("35 to 64 years - Real Coverage Rate",$L$100),GETPIVOTDATA("65 years and over - Real Coverage Rate",$L$200))</f>
        <v>0.89261075011553193</v>
      </c>
      <c r="AN2" s="24">
        <f>AVERAGE(GETPIVOTDATA("Under 18 years - Penetration Rate",$A$3),GETPIVOTDATA("18 to 34 years - Penetration rate",$A$96),GETPIVOTDATA("35 to 64 years - Penetration Rate",$A$192),GETPIVOTDATA("65 years and over - Penetration Rate",$A$291))</f>
        <v>0.45165408156910103</v>
      </c>
      <c r="AO2" s="23">
        <f>AVERAGE(GETPIVOTDATA("Under 18 years - Uninsured Rate",$Z$3),GETPIVOTDATA("18 to 34 years - Uninsured rate",$Z$97),GETPIVOTDATA("35 to 64 years - Uninsured rate",$Z$194),GETPIVOTDATA("65 years and over - Uninsured rate",$Z$294))</f>
        <v>0.54834591843089897</v>
      </c>
      <c r="AU2" t="s">
        <v>7</v>
      </c>
      <c r="AV2">
        <v>1395</v>
      </c>
      <c r="AW2">
        <v>1</v>
      </c>
      <c r="AZ2" s="19" t="s">
        <v>205</v>
      </c>
      <c r="BA2" s="20">
        <f>GETPIVOTDATA("Count of Id",$AU$1)</f>
        <v>91</v>
      </c>
    </row>
    <row r="3" spans="1:53" x14ac:dyDescent="0.35">
      <c r="A3" s="7" t="s">
        <v>3</v>
      </c>
      <c r="B3" t="s">
        <v>173</v>
      </c>
      <c r="F3" t="s">
        <v>193</v>
      </c>
      <c r="G3" s="10">
        <f>GETPIVOTDATA("18 to 34 years - Penetration rate",$A$96)</f>
        <v>0.57961753340253253</v>
      </c>
      <c r="H3" s="10">
        <f>GETPIVOTDATA("Real Coverage Rate ( 18 to 34 years )",$L$3)</f>
        <v>0.83199447436612295</v>
      </c>
      <c r="L3" s="7" t="s">
        <v>4</v>
      </c>
      <c r="M3" t="s">
        <v>183</v>
      </c>
      <c r="Q3" s="21" t="s">
        <v>193</v>
      </c>
      <c r="R3" s="22">
        <f>GETPIVOTDATA("Real Coverage Rate ( 18 to 34 years )",$L$3)</f>
        <v>0.83199447436612295</v>
      </c>
      <c r="Z3" s="7" t="s">
        <v>3</v>
      </c>
      <c r="AA3" t="s">
        <v>186</v>
      </c>
      <c r="AF3" s="21" t="s">
        <v>193</v>
      </c>
      <c r="AG3" s="25">
        <f>GETPIVOTDATA("18 to 34 years - Penetration rate",$A$96)</f>
        <v>0.57961753340253253</v>
      </c>
      <c r="AH3" s="22">
        <f>GETPIVOTDATA("18 to 34 years - Uninsured rate",$Z$97)</f>
        <v>0.42038246659746731</v>
      </c>
      <c r="AU3" t="s">
        <v>8</v>
      </c>
      <c r="AV3">
        <v>343</v>
      </c>
      <c r="AW3">
        <v>1</v>
      </c>
      <c r="AZ3" s="21" t="s">
        <v>204</v>
      </c>
      <c r="BA3" s="30">
        <f>GETPIVOTDATA("Sum of Total",$AU$1)</f>
        <v>301966</v>
      </c>
    </row>
    <row r="4" spans="1:53" x14ac:dyDescent="0.35">
      <c r="A4" s="14">
        <v>0</v>
      </c>
      <c r="B4" s="12">
        <v>0</v>
      </c>
      <c r="F4" t="s">
        <v>195</v>
      </c>
      <c r="G4" s="10">
        <f>GETPIVOTDATA("35 to 64 years - Penetration Rate",$A$192)</f>
        <v>0.6021478235923714</v>
      </c>
      <c r="H4" s="10">
        <f>GETPIVOTDATA("35 to 64 years - Real Coverage Rate",$L$100)</f>
        <v>0.85769394818595901</v>
      </c>
      <c r="L4" s="14">
        <v>0</v>
      </c>
      <c r="M4" s="12">
        <v>0</v>
      </c>
      <c r="Q4" s="19" t="s">
        <v>195</v>
      </c>
      <c r="R4" s="23">
        <f>GETPIVOTDATA("35 to 64 years - Real Coverage Rate",$L$100)</f>
        <v>0.85769394818595901</v>
      </c>
      <c r="Z4" s="14">
        <v>0</v>
      </c>
      <c r="AA4" s="12">
        <v>1</v>
      </c>
      <c r="AF4" s="19" t="s">
        <v>195</v>
      </c>
      <c r="AG4" s="24">
        <f>GETPIVOTDATA("35 to 64 years - Penetration Rate",$A$192)</f>
        <v>0.6021478235923714</v>
      </c>
      <c r="AH4" s="23">
        <f>GETPIVOTDATA("35 to 64 years - Uninsured rate",$Z$194)</f>
        <v>0.39785217640762865</v>
      </c>
      <c r="AU4" t="s">
        <v>9</v>
      </c>
      <c r="AV4">
        <v>2558</v>
      </c>
      <c r="AW4">
        <v>1</v>
      </c>
    </row>
    <row r="5" spans="1:53" x14ac:dyDescent="0.35">
      <c r="A5" s="14">
        <v>12</v>
      </c>
      <c r="B5" s="12">
        <v>0.11707317073170732</v>
      </c>
      <c r="F5" t="s">
        <v>196</v>
      </c>
      <c r="G5" s="10">
        <f>GETPIVOTDATA("65 years and over - Penetration Rate",$A$291)</f>
        <v>0.28932646782805138</v>
      </c>
      <c r="H5" s="10">
        <f>GETPIVOTDATA("65 years and over - Real Coverage Rate",$L$200)</f>
        <v>0.98814382779451382</v>
      </c>
      <c r="L5" s="14">
        <v>8</v>
      </c>
      <c r="M5" s="12">
        <v>1</v>
      </c>
      <c r="Q5" s="21" t="s">
        <v>196</v>
      </c>
      <c r="R5" s="22">
        <f>GETPIVOTDATA("65 years and over - Real Coverage Rate",$L$200)</f>
        <v>0.98814382779451382</v>
      </c>
      <c r="Z5" s="14">
        <v>12</v>
      </c>
      <c r="AA5" s="12">
        <v>0.88292682926829269</v>
      </c>
      <c r="AF5" s="21" t="s">
        <v>196</v>
      </c>
      <c r="AG5" s="25">
        <f>GETPIVOTDATA("65 years and over - Penetration Rate",$A$291)</f>
        <v>0.28932646782805138</v>
      </c>
      <c r="AH5" s="22">
        <f>GETPIVOTDATA("65 years and over - Uninsured rate",$Z$294)</f>
        <v>0.7106735321719484</v>
      </c>
      <c r="AU5" t="s">
        <v>10</v>
      </c>
      <c r="AV5">
        <v>1852</v>
      </c>
      <c r="AW5">
        <v>1</v>
      </c>
    </row>
    <row r="6" spans="1:53" x14ac:dyDescent="0.35">
      <c r="A6" s="14">
        <v>33</v>
      </c>
      <c r="B6" s="12">
        <v>8.8353413654618476E-2</v>
      </c>
      <c r="L6" s="14">
        <v>59</v>
      </c>
      <c r="M6" s="12">
        <v>0.83050847457627119</v>
      </c>
      <c r="Z6" s="14">
        <v>33</v>
      </c>
      <c r="AA6" s="12">
        <v>0.91164658634538154</v>
      </c>
      <c r="AU6" t="s">
        <v>11</v>
      </c>
      <c r="AV6">
        <v>272</v>
      </c>
      <c r="AW6">
        <v>1</v>
      </c>
    </row>
    <row r="7" spans="1:53" x14ac:dyDescent="0.35">
      <c r="A7" s="14">
        <v>34</v>
      </c>
      <c r="B7" s="12">
        <v>0.19825072886297376</v>
      </c>
      <c r="L7" s="14">
        <v>66</v>
      </c>
      <c r="M7" s="12">
        <v>0.82575757575757569</v>
      </c>
      <c r="Z7" s="14">
        <v>34</v>
      </c>
      <c r="AA7" s="12">
        <v>0.80174927113702621</v>
      </c>
      <c r="AU7" t="s">
        <v>12</v>
      </c>
      <c r="AV7">
        <v>3697</v>
      </c>
      <c r="AW7">
        <v>1</v>
      </c>
    </row>
    <row r="8" spans="1:53" x14ac:dyDescent="0.35">
      <c r="A8" s="14">
        <v>37</v>
      </c>
      <c r="B8" s="12">
        <v>0.2356687898089172</v>
      </c>
      <c r="L8" s="14">
        <v>67</v>
      </c>
      <c r="M8" s="12">
        <v>1</v>
      </c>
      <c r="Z8" s="14">
        <v>37</v>
      </c>
      <c r="AA8" s="12">
        <v>0.76433121019108285</v>
      </c>
      <c r="AU8" t="s">
        <v>13</v>
      </c>
      <c r="AV8">
        <v>1349</v>
      </c>
      <c r="AW8">
        <v>1</v>
      </c>
    </row>
    <row r="9" spans="1:53" x14ac:dyDescent="0.35">
      <c r="A9" s="14">
        <v>41</v>
      </c>
      <c r="B9" s="12">
        <v>0.26537216828478966</v>
      </c>
      <c r="L9" s="14">
        <v>102</v>
      </c>
      <c r="M9" s="12">
        <v>1</v>
      </c>
      <c r="Z9" s="14">
        <v>41</v>
      </c>
      <c r="AA9" s="12">
        <v>0.7346278317152104</v>
      </c>
      <c r="AE9" t="s">
        <v>199</v>
      </c>
      <c r="AU9" t="s">
        <v>14</v>
      </c>
      <c r="AV9">
        <v>7996</v>
      </c>
      <c r="AW9">
        <v>1</v>
      </c>
    </row>
    <row r="10" spans="1:53" x14ac:dyDescent="0.35">
      <c r="A10" s="14">
        <v>56</v>
      </c>
      <c r="B10" s="12">
        <v>1.0649261422191686E-2</v>
      </c>
      <c r="L10" s="14">
        <v>104</v>
      </c>
      <c r="M10" s="12">
        <v>0.94230769230769229</v>
      </c>
      <c r="Z10" s="14">
        <v>56</v>
      </c>
      <c r="AA10" s="12">
        <v>0.98935073857780831</v>
      </c>
      <c r="AU10" t="s">
        <v>15</v>
      </c>
      <c r="AV10">
        <v>1702</v>
      </c>
      <c r="AW10">
        <v>1</v>
      </c>
    </row>
    <row r="11" spans="1:53" x14ac:dyDescent="0.35">
      <c r="A11" s="14">
        <v>69</v>
      </c>
      <c r="B11" s="12">
        <v>3.3990147783251233E-2</v>
      </c>
      <c r="L11" s="14">
        <v>116</v>
      </c>
      <c r="M11" s="12">
        <v>0.84482758620689657</v>
      </c>
      <c r="Z11" s="14">
        <v>69</v>
      </c>
      <c r="AA11" s="12">
        <v>0.96600985221674873</v>
      </c>
      <c r="AU11" t="s">
        <v>16</v>
      </c>
      <c r="AV11">
        <v>8667</v>
      </c>
      <c r="AW11">
        <v>1</v>
      </c>
    </row>
    <row r="12" spans="1:53" x14ac:dyDescent="0.35">
      <c r="A12" s="14">
        <v>71</v>
      </c>
      <c r="B12" s="12">
        <v>3.5940268286509744E-2</v>
      </c>
      <c r="L12" s="14">
        <v>122</v>
      </c>
      <c r="M12" s="12">
        <v>0.72950819672131151</v>
      </c>
      <c r="Z12" s="14">
        <v>71</v>
      </c>
      <c r="AA12" s="12">
        <v>0.96405973171349024</v>
      </c>
      <c r="AU12" t="s">
        <v>17</v>
      </c>
      <c r="AV12">
        <v>3951</v>
      </c>
      <c r="AW12">
        <v>1</v>
      </c>
    </row>
    <row r="13" spans="1:53" x14ac:dyDescent="0.35">
      <c r="A13" s="14">
        <v>84</v>
      </c>
      <c r="B13" s="12">
        <v>0.51851851851851849</v>
      </c>
      <c r="L13" s="14">
        <v>132</v>
      </c>
      <c r="M13" s="12">
        <v>0.96212121212121215</v>
      </c>
      <c r="Z13" s="14">
        <v>84</v>
      </c>
      <c r="AA13" s="12">
        <v>0.48148148148148151</v>
      </c>
      <c r="AI13" t="s">
        <v>198</v>
      </c>
      <c r="AU13" t="s">
        <v>18</v>
      </c>
      <c r="AV13">
        <v>915</v>
      </c>
      <c r="AW13">
        <v>1</v>
      </c>
    </row>
    <row r="14" spans="1:53" x14ac:dyDescent="0.35">
      <c r="A14" s="14">
        <v>89</v>
      </c>
      <c r="B14" s="12">
        <v>0.29180327868852457</v>
      </c>
      <c r="L14" s="14">
        <v>136</v>
      </c>
      <c r="M14" s="12">
        <v>0.71323529411764708</v>
      </c>
      <c r="Z14" s="14">
        <v>89</v>
      </c>
      <c r="AA14" s="12">
        <v>0.70819672131147549</v>
      </c>
      <c r="AU14" t="s">
        <v>19</v>
      </c>
      <c r="AV14">
        <v>7361</v>
      </c>
      <c r="AW14">
        <v>1</v>
      </c>
    </row>
    <row r="15" spans="1:53" x14ac:dyDescent="0.35">
      <c r="A15" s="14">
        <v>90</v>
      </c>
      <c r="B15" s="12">
        <v>0.32142857142857145</v>
      </c>
      <c r="L15" s="14">
        <v>144</v>
      </c>
      <c r="M15" s="12">
        <v>0.61111111111111116</v>
      </c>
      <c r="Z15" s="14">
        <v>90</v>
      </c>
      <c r="AA15" s="12">
        <v>0.6785714285714286</v>
      </c>
      <c r="AU15" t="s">
        <v>20</v>
      </c>
      <c r="AV15">
        <v>13150</v>
      </c>
      <c r="AW15">
        <v>1</v>
      </c>
    </row>
    <row r="16" spans="1:53" x14ac:dyDescent="0.35">
      <c r="A16" s="14">
        <v>95</v>
      </c>
      <c r="B16" s="12">
        <v>0.14274981217129978</v>
      </c>
      <c r="L16" s="14">
        <v>155</v>
      </c>
      <c r="M16" s="12">
        <v>0.6387096774193548</v>
      </c>
      <c r="Z16" s="14">
        <v>95</v>
      </c>
      <c r="AA16" s="12">
        <v>0.85725018782870022</v>
      </c>
      <c r="AU16" t="s">
        <v>21</v>
      </c>
      <c r="AV16">
        <v>795</v>
      </c>
      <c r="AW16">
        <v>1</v>
      </c>
    </row>
    <row r="17" spans="1:49" x14ac:dyDescent="0.35">
      <c r="A17" s="14">
        <v>109</v>
      </c>
      <c r="B17" s="12">
        <v>0.11919081465281575</v>
      </c>
      <c r="L17" s="14">
        <v>196</v>
      </c>
      <c r="M17" s="12">
        <v>0.62755102040816324</v>
      </c>
      <c r="Z17" s="14">
        <v>109</v>
      </c>
      <c r="AA17" s="12">
        <v>0.88080918534718422</v>
      </c>
      <c r="AU17" t="s">
        <v>22</v>
      </c>
      <c r="AV17">
        <v>10111</v>
      </c>
      <c r="AW17">
        <v>1</v>
      </c>
    </row>
    <row r="18" spans="1:49" x14ac:dyDescent="0.35">
      <c r="A18" s="14">
        <v>118</v>
      </c>
      <c r="B18" s="12">
        <v>0.46548323471400394</v>
      </c>
      <c r="L18" s="14">
        <v>209</v>
      </c>
      <c r="M18" s="12">
        <v>0.87081339712918659</v>
      </c>
      <c r="Z18" s="14">
        <v>118</v>
      </c>
      <c r="AA18" s="12">
        <v>0.53451676528599612</v>
      </c>
      <c r="AU18" t="s">
        <v>23</v>
      </c>
      <c r="AV18">
        <v>4060</v>
      </c>
      <c r="AW18">
        <v>1</v>
      </c>
    </row>
    <row r="19" spans="1:49" x14ac:dyDescent="0.35">
      <c r="A19" s="14">
        <v>120</v>
      </c>
      <c r="B19" s="12">
        <v>0.40133779264214048</v>
      </c>
      <c r="L19" s="14">
        <v>215</v>
      </c>
      <c r="M19" s="12">
        <v>0.95348837209302328</v>
      </c>
      <c r="Z19" s="14">
        <v>120</v>
      </c>
      <c r="AA19" s="12">
        <v>0.59866220735785958</v>
      </c>
      <c r="AU19" t="s">
        <v>24</v>
      </c>
      <c r="AV19">
        <v>4598</v>
      </c>
      <c r="AW19">
        <v>1</v>
      </c>
    </row>
    <row r="20" spans="1:49" x14ac:dyDescent="0.35">
      <c r="A20" s="14">
        <v>121</v>
      </c>
      <c r="B20" s="12">
        <v>0.20491109229466553</v>
      </c>
      <c r="L20" s="14">
        <v>236</v>
      </c>
      <c r="M20" s="12">
        <v>0.89830508474576276</v>
      </c>
      <c r="Z20" s="14">
        <v>121</v>
      </c>
      <c r="AA20" s="12">
        <v>0.79508890770533447</v>
      </c>
      <c r="AU20" t="s">
        <v>25</v>
      </c>
      <c r="AV20">
        <v>2887</v>
      </c>
      <c r="AW20">
        <v>1</v>
      </c>
    </row>
    <row r="21" spans="1:49" x14ac:dyDescent="0.35">
      <c r="A21" s="14">
        <v>122</v>
      </c>
      <c r="B21" s="12">
        <v>0.8970588235294118</v>
      </c>
      <c r="L21" s="14">
        <v>242</v>
      </c>
      <c r="M21" s="12">
        <v>0.75619834710743805</v>
      </c>
      <c r="Z21" s="14">
        <v>122</v>
      </c>
      <c r="AA21" s="12">
        <v>0.1029411764705882</v>
      </c>
      <c r="AU21" t="s">
        <v>26</v>
      </c>
      <c r="AV21">
        <v>5822</v>
      </c>
      <c r="AW21">
        <v>1</v>
      </c>
    </row>
    <row r="22" spans="1:49" x14ac:dyDescent="0.35">
      <c r="A22" s="14">
        <v>126</v>
      </c>
      <c r="B22" s="12">
        <v>0.30252100840336132</v>
      </c>
      <c r="L22" s="14">
        <v>243</v>
      </c>
      <c r="M22" s="12">
        <v>1</v>
      </c>
      <c r="Z22" s="14">
        <v>126</v>
      </c>
      <c r="AA22" s="12">
        <v>0.69747899159663862</v>
      </c>
      <c r="AU22" t="s">
        <v>27</v>
      </c>
      <c r="AV22">
        <v>560</v>
      </c>
      <c r="AW22">
        <v>1</v>
      </c>
    </row>
    <row r="23" spans="1:49" x14ac:dyDescent="0.35">
      <c r="A23" s="14">
        <v>127</v>
      </c>
      <c r="B23" s="12">
        <v>0.14819136522753792</v>
      </c>
      <c r="L23" s="14">
        <v>264</v>
      </c>
      <c r="M23" s="12">
        <v>0.97727272727272729</v>
      </c>
      <c r="Z23" s="14">
        <v>127</v>
      </c>
      <c r="AA23" s="12">
        <v>0.85180863477246205</v>
      </c>
      <c r="AU23" t="s">
        <v>28</v>
      </c>
      <c r="AV23">
        <v>3</v>
      </c>
      <c r="AW23">
        <v>1</v>
      </c>
    </row>
    <row r="24" spans="1:49" x14ac:dyDescent="0.35">
      <c r="A24" s="14">
        <v>140</v>
      </c>
      <c r="B24" s="12">
        <v>0.32941176470588235</v>
      </c>
      <c r="L24" s="14">
        <v>280</v>
      </c>
      <c r="M24" s="12">
        <v>0.81428571428571428</v>
      </c>
      <c r="Z24" s="14">
        <v>140</v>
      </c>
      <c r="AA24" s="12">
        <v>0.67058823529411771</v>
      </c>
      <c r="AU24" t="s">
        <v>29</v>
      </c>
      <c r="AV24">
        <v>3964</v>
      </c>
      <c r="AW24">
        <v>1</v>
      </c>
    </row>
    <row r="25" spans="1:49" x14ac:dyDescent="0.35">
      <c r="A25" s="14">
        <v>144</v>
      </c>
      <c r="B25" s="12">
        <v>0.11742243436754177</v>
      </c>
      <c r="L25" s="14">
        <v>287</v>
      </c>
      <c r="M25" s="12">
        <v>0.80836236933797911</v>
      </c>
      <c r="Z25" s="14">
        <v>144</v>
      </c>
      <c r="AA25" s="12">
        <v>0.88257756563245826</v>
      </c>
      <c r="AU25" t="s">
        <v>30</v>
      </c>
      <c r="AV25">
        <v>2225</v>
      </c>
      <c r="AW25">
        <v>1</v>
      </c>
    </row>
    <row r="26" spans="1:49" x14ac:dyDescent="0.35">
      <c r="A26" s="14">
        <v>147</v>
      </c>
      <c r="B26" s="12">
        <v>0.27032136105860116</v>
      </c>
      <c r="L26" s="14">
        <v>302</v>
      </c>
      <c r="M26" s="12">
        <v>0.83112582781456956</v>
      </c>
      <c r="Z26" s="14">
        <v>147</v>
      </c>
      <c r="AA26" s="12">
        <v>0.72967863894139884</v>
      </c>
      <c r="AU26" t="s">
        <v>31</v>
      </c>
      <c r="AV26">
        <v>2522</v>
      </c>
      <c r="AW26">
        <v>1</v>
      </c>
    </row>
    <row r="27" spans="1:49" x14ac:dyDescent="0.35">
      <c r="A27" s="14">
        <v>181</v>
      </c>
      <c r="B27" s="12">
        <v>0.17060931899641577</v>
      </c>
      <c r="L27" s="14">
        <v>318</v>
      </c>
      <c r="M27" s="12">
        <v>0.74528301886792447</v>
      </c>
      <c r="Z27" s="14">
        <v>181</v>
      </c>
      <c r="AA27" s="12">
        <v>0.82939068100358426</v>
      </c>
      <c r="AU27" t="s">
        <v>32</v>
      </c>
      <c r="AV27">
        <v>2095</v>
      </c>
      <c r="AW27">
        <v>1</v>
      </c>
    </row>
    <row r="28" spans="1:49" x14ac:dyDescent="0.35">
      <c r="A28" s="14">
        <v>186</v>
      </c>
      <c r="B28" s="12">
        <v>0.4679245283018868</v>
      </c>
      <c r="L28" s="14">
        <v>335</v>
      </c>
      <c r="M28" s="12">
        <v>0.94626865671641791</v>
      </c>
      <c r="Z28" s="14">
        <v>186</v>
      </c>
      <c r="AA28" s="12">
        <v>0.5320754716981132</v>
      </c>
      <c r="AU28" t="s">
        <v>33</v>
      </c>
      <c r="AV28">
        <v>610</v>
      </c>
      <c r="AW28">
        <v>1</v>
      </c>
    </row>
    <row r="29" spans="1:49" x14ac:dyDescent="0.35">
      <c r="A29" s="14">
        <v>211</v>
      </c>
      <c r="B29" s="12">
        <v>0.33423400473760184</v>
      </c>
      <c r="L29" s="14">
        <v>364</v>
      </c>
      <c r="M29" s="12">
        <v>0.91758241758241754</v>
      </c>
      <c r="Z29" s="14">
        <v>211</v>
      </c>
      <c r="AA29" s="12">
        <v>0.66576599526239821</v>
      </c>
      <c r="AU29" t="s">
        <v>34</v>
      </c>
      <c r="AV29">
        <v>2859</v>
      </c>
      <c r="AW29">
        <v>1</v>
      </c>
    </row>
    <row r="30" spans="1:49" x14ac:dyDescent="0.35">
      <c r="A30" s="14">
        <v>213</v>
      </c>
      <c r="B30" s="12">
        <v>0.41239109390125844</v>
      </c>
      <c r="L30" s="14">
        <v>369</v>
      </c>
      <c r="M30" s="12">
        <v>0.62601626016260159</v>
      </c>
      <c r="Z30" s="14">
        <v>213</v>
      </c>
      <c r="AA30" s="12">
        <v>0.5876089060987415</v>
      </c>
      <c r="AU30" t="s">
        <v>35</v>
      </c>
      <c r="AV30">
        <v>5400</v>
      </c>
      <c r="AW30">
        <v>1</v>
      </c>
    </row>
    <row r="31" spans="1:49" x14ac:dyDescent="0.35">
      <c r="A31" s="14">
        <v>219</v>
      </c>
      <c r="B31" s="12">
        <v>0.26274745050989801</v>
      </c>
      <c r="L31" s="14">
        <v>372</v>
      </c>
      <c r="M31" s="12">
        <v>1</v>
      </c>
      <c r="Z31" s="14">
        <v>219</v>
      </c>
      <c r="AA31" s="12">
        <v>0.73725254949010199</v>
      </c>
      <c r="AU31" t="s">
        <v>36</v>
      </c>
      <c r="AV31">
        <v>2491</v>
      </c>
      <c r="AW31">
        <v>1</v>
      </c>
    </row>
    <row r="32" spans="1:49" x14ac:dyDescent="0.35">
      <c r="A32" s="14">
        <v>224</v>
      </c>
      <c r="B32" s="12">
        <v>0.15598885793871867</v>
      </c>
      <c r="L32" s="14">
        <v>450</v>
      </c>
      <c r="M32" s="12">
        <v>0.8</v>
      </c>
      <c r="Z32" s="14">
        <v>224</v>
      </c>
      <c r="AA32" s="12">
        <v>0.84401114206128136</v>
      </c>
      <c r="AU32" t="s">
        <v>37</v>
      </c>
      <c r="AV32">
        <v>309</v>
      </c>
      <c r="AW32">
        <v>1</v>
      </c>
    </row>
    <row r="33" spans="1:49" x14ac:dyDescent="0.35">
      <c r="A33" s="14">
        <v>227</v>
      </c>
      <c r="B33" s="12">
        <v>0.3811922753988245</v>
      </c>
      <c r="L33" s="14">
        <v>465</v>
      </c>
      <c r="M33" s="12">
        <v>0.64086021505376345</v>
      </c>
      <c r="Z33" s="14">
        <v>227</v>
      </c>
      <c r="AA33" s="12">
        <v>0.6188077246011755</v>
      </c>
      <c r="AU33" t="s">
        <v>38</v>
      </c>
      <c r="AV33">
        <v>1181</v>
      </c>
      <c r="AW33">
        <v>1</v>
      </c>
    </row>
    <row r="34" spans="1:49" x14ac:dyDescent="0.35">
      <c r="A34" s="14">
        <v>249</v>
      </c>
      <c r="B34" s="12">
        <v>0.54426229508196722</v>
      </c>
      <c r="L34" s="14">
        <v>470</v>
      </c>
      <c r="M34" s="12">
        <v>0.74042553191489358</v>
      </c>
      <c r="Z34" s="14">
        <v>249</v>
      </c>
      <c r="AA34" s="12">
        <v>0.45573770491803278</v>
      </c>
      <c r="AU34" t="s">
        <v>39</v>
      </c>
      <c r="AV34">
        <v>1270</v>
      </c>
      <c r="AW34">
        <v>1</v>
      </c>
    </row>
    <row r="35" spans="1:49" x14ac:dyDescent="0.35">
      <c r="A35" s="14">
        <v>254</v>
      </c>
      <c r="B35" s="12">
        <v>0.27253218884120173</v>
      </c>
      <c r="L35" s="14">
        <v>476</v>
      </c>
      <c r="M35" s="12">
        <v>0.95798319327731096</v>
      </c>
      <c r="Z35" s="14">
        <v>254</v>
      </c>
      <c r="AA35" s="12">
        <v>0.72746781115879822</v>
      </c>
      <c r="AU35" t="s">
        <v>40</v>
      </c>
      <c r="AV35">
        <v>1829</v>
      </c>
      <c r="AW35">
        <v>1</v>
      </c>
    </row>
    <row r="36" spans="1:49" x14ac:dyDescent="0.35">
      <c r="A36" s="14">
        <v>262</v>
      </c>
      <c r="B36" s="12">
        <v>0.17015706806282724</v>
      </c>
      <c r="L36" s="14">
        <v>489</v>
      </c>
      <c r="M36" s="12">
        <v>0.64723926380368102</v>
      </c>
      <c r="Z36" s="14">
        <v>262</v>
      </c>
      <c r="AA36" s="12">
        <v>0.82984293193717273</v>
      </c>
      <c r="AU36" t="s">
        <v>41</v>
      </c>
      <c r="AV36">
        <v>3966</v>
      </c>
      <c r="AW36">
        <v>1</v>
      </c>
    </row>
    <row r="37" spans="1:49" x14ac:dyDescent="0.35">
      <c r="A37" s="14">
        <v>266</v>
      </c>
      <c r="B37" s="12">
        <v>8.4821428571428575E-2</v>
      </c>
      <c r="L37" s="14">
        <v>505</v>
      </c>
      <c r="M37" s="12">
        <v>0.9247524752475248</v>
      </c>
      <c r="Z37" s="14">
        <v>266</v>
      </c>
      <c r="AA37" s="12">
        <v>0.9151785714285714</v>
      </c>
      <c r="AU37" t="s">
        <v>42</v>
      </c>
      <c r="AV37">
        <v>507</v>
      </c>
      <c r="AW37">
        <v>1</v>
      </c>
    </row>
    <row r="38" spans="1:49" x14ac:dyDescent="0.35">
      <c r="A38" s="14">
        <v>268</v>
      </c>
      <c r="B38" s="12">
        <v>0.39851301115241633</v>
      </c>
      <c r="L38" s="14">
        <v>512</v>
      </c>
      <c r="M38" s="12">
        <v>0.826171875</v>
      </c>
      <c r="Z38" s="14">
        <v>268</v>
      </c>
      <c r="AA38" s="12">
        <v>0.60148698884758367</v>
      </c>
      <c r="AU38" t="s">
        <v>43</v>
      </c>
      <c r="AV38">
        <v>7690</v>
      </c>
      <c r="AW38">
        <v>1</v>
      </c>
    </row>
    <row r="39" spans="1:49" x14ac:dyDescent="0.35">
      <c r="A39" s="14">
        <v>271</v>
      </c>
      <c r="B39" s="12">
        <v>0.42677165354330709</v>
      </c>
      <c r="L39" s="14">
        <v>545</v>
      </c>
      <c r="M39" s="12">
        <v>0.69541284403669723</v>
      </c>
      <c r="Z39" s="14">
        <v>271</v>
      </c>
      <c r="AA39" s="12">
        <v>0.57322834645669296</v>
      </c>
      <c r="AU39" t="s">
        <v>44</v>
      </c>
      <c r="AV39">
        <v>405</v>
      </c>
      <c r="AW39">
        <v>1</v>
      </c>
    </row>
    <row r="40" spans="1:49" x14ac:dyDescent="0.35">
      <c r="A40" s="14">
        <v>290</v>
      </c>
      <c r="B40" s="12">
        <v>0.29835390946502055</v>
      </c>
      <c r="L40" s="14">
        <v>570</v>
      </c>
      <c r="M40" s="12">
        <v>0.63508771929824559</v>
      </c>
      <c r="Z40" s="14">
        <v>290</v>
      </c>
      <c r="AA40" s="12">
        <v>0.70164609053497951</v>
      </c>
      <c r="AU40" t="s">
        <v>45</v>
      </c>
      <c r="AV40">
        <v>4257</v>
      </c>
      <c r="AW40">
        <v>1</v>
      </c>
    </row>
    <row r="41" spans="1:49" x14ac:dyDescent="0.35">
      <c r="A41" s="14">
        <v>315</v>
      </c>
      <c r="B41" s="12">
        <v>6.5672886479724801E-2</v>
      </c>
      <c r="L41" s="14">
        <v>622</v>
      </c>
      <c r="M41" s="12">
        <v>0.75562700964630225</v>
      </c>
      <c r="Z41" s="14">
        <v>315</v>
      </c>
      <c r="AA41" s="12">
        <v>0.9343271135202752</v>
      </c>
      <c r="AU41" t="s">
        <v>46</v>
      </c>
      <c r="AV41">
        <v>6805</v>
      </c>
      <c r="AW41">
        <v>1</v>
      </c>
    </row>
    <row r="42" spans="1:49" x14ac:dyDescent="0.35">
      <c r="A42" s="14">
        <v>320</v>
      </c>
      <c r="B42" s="12">
        <v>0.28033289531318439</v>
      </c>
      <c r="L42" s="14">
        <v>624</v>
      </c>
      <c r="M42" s="12">
        <v>0.78685897435897434</v>
      </c>
      <c r="Z42" s="14">
        <v>320</v>
      </c>
      <c r="AA42" s="12">
        <v>0.71966710468681561</v>
      </c>
      <c r="AU42" t="s">
        <v>47</v>
      </c>
      <c r="AV42">
        <v>3371</v>
      </c>
      <c r="AW42">
        <v>1</v>
      </c>
    </row>
    <row r="43" spans="1:49" x14ac:dyDescent="0.35">
      <c r="A43" s="14">
        <v>321</v>
      </c>
      <c r="B43" s="12">
        <v>0.41851368970013036</v>
      </c>
      <c r="L43" s="14">
        <v>642</v>
      </c>
      <c r="M43" s="12">
        <v>0.77414330218068539</v>
      </c>
      <c r="Z43" s="14">
        <v>321</v>
      </c>
      <c r="AA43" s="12">
        <v>0.58148631029986964</v>
      </c>
      <c r="AU43" t="s">
        <v>48</v>
      </c>
      <c r="AV43">
        <v>2276</v>
      </c>
      <c r="AW43">
        <v>1</v>
      </c>
    </row>
    <row r="44" spans="1:49" x14ac:dyDescent="0.35">
      <c r="A44" s="14">
        <v>331</v>
      </c>
      <c r="B44" s="12">
        <v>0.30552291421856637</v>
      </c>
      <c r="L44" s="14">
        <v>667</v>
      </c>
      <c r="M44" s="12">
        <v>0.75112443778110949</v>
      </c>
      <c r="Z44" s="14">
        <v>331</v>
      </c>
      <c r="AA44" s="12">
        <v>0.69447708578143363</v>
      </c>
      <c r="AU44" t="s">
        <v>49</v>
      </c>
      <c r="AV44">
        <v>850</v>
      </c>
      <c r="AW44">
        <v>1</v>
      </c>
    </row>
    <row r="45" spans="1:49" x14ac:dyDescent="0.35">
      <c r="A45" s="14">
        <v>338</v>
      </c>
      <c r="B45" s="12">
        <v>0.34557235421166305</v>
      </c>
      <c r="L45" s="14">
        <v>693</v>
      </c>
      <c r="M45" s="12">
        <v>0.95238095238095233</v>
      </c>
      <c r="Z45" s="14">
        <v>338</v>
      </c>
      <c r="AA45" s="12">
        <v>0.6544276457883369</v>
      </c>
      <c r="AU45" t="s">
        <v>50</v>
      </c>
      <c r="AV45">
        <v>4255</v>
      </c>
      <c r="AW45">
        <v>1</v>
      </c>
    </row>
    <row r="46" spans="1:49" x14ac:dyDescent="0.35">
      <c r="A46" s="14">
        <v>341</v>
      </c>
      <c r="B46" s="12">
        <v>0.18447389775493644</v>
      </c>
      <c r="L46" s="14">
        <v>701</v>
      </c>
      <c r="M46" s="12">
        <v>0.87303851640513552</v>
      </c>
      <c r="Z46" s="14">
        <v>341</v>
      </c>
      <c r="AA46" s="12">
        <v>0.8155261022450635</v>
      </c>
      <c r="AU46" t="s">
        <v>51</v>
      </c>
      <c r="AV46">
        <v>1493</v>
      </c>
      <c r="AW46">
        <v>1</v>
      </c>
    </row>
    <row r="47" spans="1:49" x14ac:dyDescent="0.35">
      <c r="A47" s="14">
        <v>359</v>
      </c>
      <c r="B47" s="12">
        <v>0.28469468675654241</v>
      </c>
      <c r="L47" s="14">
        <v>721</v>
      </c>
      <c r="M47" s="12">
        <v>0.90429958391123444</v>
      </c>
      <c r="Z47" s="14">
        <v>359</v>
      </c>
      <c r="AA47" s="12">
        <v>0.71530531324345759</v>
      </c>
      <c r="AU47" t="s">
        <v>52</v>
      </c>
      <c r="AV47">
        <v>3499</v>
      </c>
      <c r="AW47">
        <v>1</v>
      </c>
    </row>
    <row r="48" spans="1:49" x14ac:dyDescent="0.35">
      <c r="A48" s="14">
        <v>367</v>
      </c>
      <c r="B48" s="12">
        <v>0.14702044367116138</v>
      </c>
      <c r="L48" s="14">
        <v>723</v>
      </c>
      <c r="M48" s="12">
        <v>0.9045643153526971</v>
      </c>
      <c r="Z48" s="14">
        <v>367</v>
      </c>
      <c r="AA48" s="12">
        <v>0.8529795563288386</v>
      </c>
      <c r="AU48" t="s">
        <v>53</v>
      </c>
      <c r="AV48">
        <v>4643</v>
      </c>
      <c r="AW48">
        <v>1</v>
      </c>
    </row>
    <row r="49" spans="1:49" x14ac:dyDescent="0.35">
      <c r="A49" s="14">
        <v>388</v>
      </c>
      <c r="B49" s="12">
        <v>0.51574012056262564</v>
      </c>
      <c r="L49" s="14">
        <v>737</v>
      </c>
      <c r="M49" s="12">
        <v>1</v>
      </c>
      <c r="Z49" s="14">
        <v>388</v>
      </c>
      <c r="AA49" s="12">
        <v>0.48425987943737436</v>
      </c>
      <c r="AU49" t="s">
        <v>54</v>
      </c>
      <c r="AV49">
        <v>2572</v>
      </c>
      <c r="AW49">
        <v>1</v>
      </c>
    </row>
    <row r="50" spans="1:49" x14ac:dyDescent="0.35">
      <c r="A50" s="14">
        <v>420</v>
      </c>
      <c r="B50" s="12">
        <v>0.35206109004490888</v>
      </c>
      <c r="L50" s="14">
        <v>742</v>
      </c>
      <c r="M50" s="12">
        <v>0.93396226415094341</v>
      </c>
      <c r="Z50" s="14">
        <v>420</v>
      </c>
      <c r="AA50" s="12">
        <v>0.64793890995509107</v>
      </c>
      <c r="AU50" t="s">
        <v>55</v>
      </c>
      <c r="AV50">
        <v>1944</v>
      </c>
      <c r="AW50">
        <v>1</v>
      </c>
    </row>
    <row r="51" spans="1:49" x14ac:dyDescent="0.35">
      <c r="A51" s="14">
        <v>433</v>
      </c>
      <c r="B51" s="12">
        <v>0.17150338206415011</v>
      </c>
      <c r="L51" s="14">
        <v>743</v>
      </c>
      <c r="M51" s="12">
        <v>0.74158815612382234</v>
      </c>
      <c r="Z51" s="14">
        <v>433</v>
      </c>
      <c r="AA51" s="12">
        <v>0.82849661793584994</v>
      </c>
      <c r="AU51" t="s">
        <v>56</v>
      </c>
      <c r="AV51">
        <v>4060</v>
      </c>
      <c r="AW51">
        <v>1</v>
      </c>
    </row>
    <row r="52" spans="1:49" x14ac:dyDescent="0.35">
      <c r="A52" s="14">
        <v>477</v>
      </c>
      <c r="B52" s="12">
        <v>0.69829503335804299</v>
      </c>
      <c r="L52" s="14">
        <v>789</v>
      </c>
      <c r="M52" s="12">
        <v>0.78326996197718635</v>
      </c>
      <c r="Z52" s="14">
        <v>477</v>
      </c>
      <c r="AA52" s="12">
        <v>0.30170496664195701</v>
      </c>
      <c r="AU52" t="s">
        <v>57</v>
      </c>
      <c r="AV52">
        <v>1755</v>
      </c>
      <c r="AW52">
        <v>1</v>
      </c>
    </row>
    <row r="53" spans="1:49" x14ac:dyDescent="0.35">
      <c r="A53" s="14">
        <v>519</v>
      </c>
      <c r="B53" s="12">
        <v>0.31207847946045369</v>
      </c>
      <c r="L53" s="14">
        <v>817</v>
      </c>
      <c r="M53" s="12">
        <v>0.71113831089351287</v>
      </c>
      <c r="Z53" s="14">
        <v>519</v>
      </c>
      <c r="AA53" s="12">
        <v>0.68792152053954636</v>
      </c>
      <c r="AU53" t="s">
        <v>58</v>
      </c>
      <c r="AV53">
        <v>3262</v>
      </c>
      <c r="AW53">
        <v>1</v>
      </c>
    </row>
    <row r="54" spans="1:49" x14ac:dyDescent="0.35">
      <c r="A54" s="14">
        <v>522</v>
      </c>
      <c r="B54" s="12">
        <v>0.33841684822076978</v>
      </c>
      <c r="L54" s="14">
        <v>832</v>
      </c>
      <c r="M54" s="12">
        <v>0.90024038461538458</v>
      </c>
      <c r="Z54" s="14">
        <v>522</v>
      </c>
      <c r="AA54" s="12">
        <v>0.66158315177923022</v>
      </c>
      <c r="AU54" t="s">
        <v>59</v>
      </c>
      <c r="AV54">
        <v>3399</v>
      </c>
      <c r="AW54">
        <v>1</v>
      </c>
    </row>
    <row r="55" spans="1:49" x14ac:dyDescent="0.35">
      <c r="A55" s="14">
        <v>548</v>
      </c>
      <c r="B55" s="12">
        <v>0.37686179425008659</v>
      </c>
      <c r="L55" s="14">
        <v>885</v>
      </c>
      <c r="M55" s="12">
        <v>0.81694915254237288</v>
      </c>
      <c r="Z55" s="14">
        <v>548</v>
      </c>
      <c r="AA55" s="12">
        <v>0.62313820574991341</v>
      </c>
      <c r="AU55" t="s">
        <v>60</v>
      </c>
      <c r="AV55">
        <v>8719</v>
      </c>
      <c r="AW55">
        <v>1</v>
      </c>
    </row>
    <row r="56" spans="1:49" x14ac:dyDescent="0.35">
      <c r="A56" s="14">
        <v>555</v>
      </c>
      <c r="B56" s="12">
        <v>0.46485061511423548</v>
      </c>
      <c r="L56" s="14">
        <v>902</v>
      </c>
      <c r="M56" s="12">
        <v>0.76940133037694014</v>
      </c>
      <c r="Z56" s="14">
        <v>555</v>
      </c>
      <c r="AA56" s="12">
        <v>0.53514938488576447</v>
      </c>
      <c r="AU56" t="s">
        <v>61</v>
      </c>
      <c r="AV56">
        <v>598</v>
      </c>
      <c r="AW56">
        <v>1</v>
      </c>
    </row>
    <row r="57" spans="1:49" x14ac:dyDescent="0.35">
      <c r="A57" s="14">
        <v>620</v>
      </c>
      <c r="B57" s="12">
        <v>0.28268748257596876</v>
      </c>
      <c r="L57" s="14">
        <v>919</v>
      </c>
      <c r="M57" s="12">
        <v>0.90424374319912948</v>
      </c>
      <c r="Z57" s="14">
        <v>620</v>
      </c>
      <c r="AA57" s="12">
        <v>0.71731251742403124</v>
      </c>
      <c r="AU57" t="s">
        <v>62</v>
      </c>
      <c r="AV57">
        <v>973</v>
      </c>
      <c r="AW57">
        <v>1</v>
      </c>
    </row>
    <row r="58" spans="1:49" x14ac:dyDescent="0.35">
      <c r="A58" s="14">
        <v>640</v>
      </c>
      <c r="B58" s="12">
        <v>0.34188034188034189</v>
      </c>
      <c r="L58" s="14">
        <v>957</v>
      </c>
      <c r="M58" s="12">
        <v>0.87460815047021945</v>
      </c>
      <c r="Z58" s="14">
        <v>640</v>
      </c>
      <c r="AA58" s="12">
        <v>0.65811965811965811</v>
      </c>
      <c r="AU58" t="s">
        <v>63</v>
      </c>
      <c r="AV58">
        <v>9593</v>
      </c>
      <c r="AW58">
        <v>1</v>
      </c>
    </row>
    <row r="59" spans="1:49" x14ac:dyDescent="0.35">
      <c r="A59" s="14">
        <v>646</v>
      </c>
      <c r="B59" s="12">
        <v>0.36924835667333522</v>
      </c>
      <c r="L59" s="14">
        <v>997</v>
      </c>
      <c r="M59" s="12">
        <v>0.8244734202607823</v>
      </c>
      <c r="Z59" s="14">
        <v>646</v>
      </c>
      <c r="AA59" s="12">
        <v>0.63075164332666478</v>
      </c>
      <c r="AU59" t="s">
        <v>64</v>
      </c>
      <c r="AV59">
        <v>205</v>
      </c>
      <c r="AW59">
        <v>1</v>
      </c>
    </row>
    <row r="60" spans="1:49" x14ac:dyDescent="0.35">
      <c r="A60" s="14">
        <v>670</v>
      </c>
      <c r="B60" s="12">
        <v>0.14884042921426099</v>
      </c>
      <c r="L60" s="14">
        <v>1010</v>
      </c>
      <c r="M60" s="12">
        <v>0.89306930693069309</v>
      </c>
      <c r="Z60" s="14">
        <v>670</v>
      </c>
      <c r="AA60" s="12">
        <v>0.85115957078573901</v>
      </c>
      <c r="AU60" t="s">
        <v>65</v>
      </c>
      <c r="AV60">
        <v>1545</v>
      </c>
      <c r="AW60">
        <v>1</v>
      </c>
    </row>
    <row r="61" spans="1:49" x14ac:dyDescent="0.35">
      <c r="A61" s="14">
        <v>708</v>
      </c>
      <c r="B61" s="12">
        <v>0.91003236245954688</v>
      </c>
      <c r="L61" s="14">
        <v>1053</v>
      </c>
      <c r="M61" s="12">
        <v>0.81766381766381757</v>
      </c>
      <c r="Z61" s="14">
        <v>708</v>
      </c>
      <c r="AA61" s="12">
        <v>8.9967637540453116E-2</v>
      </c>
      <c r="AU61" t="s">
        <v>66</v>
      </c>
      <c r="AV61">
        <v>1058</v>
      </c>
      <c r="AW61">
        <v>1</v>
      </c>
    </row>
    <row r="62" spans="1:49" x14ac:dyDescent="0.35">
      <c r="A62" s="14">
        <v>726</v>
      </c>
      <c r="B62" s="12">
        <v>0.58289843436370936</v>
      </c>
      <c r="L62" s="14">
        <v>1056</v>
      </c>
      <c r="M62" s="12">
        <v>0.71969696969696972</v>
      </c>
      <c r="Z62" s="14">
        <v>726</v>
      </c>
      <c r="AA62" s="12">
        <v>0.41710156563629064</v>
      </c>
      <c r="AU62" t="s">
        <v>67</v>
      </c>
      <c r="AV62">
        <v>3587</v>
      </c>
      <c r="AW62">
        <v>1</v>
      </c>
    </row>
    <row r="63" spans="1:49" x14ac:dyDescent="0.35">
      <c r="A63" s="14">
        <v>732</v>
      </c>
      <c r="B63" s="12">
        <v>0.34349188265451436</v>
      </c>
      <c r="L63" s="14">
        <v>1071</v>
      </c>
      <c r="M63" s="12">
        <v>0.83380018674136325</v>
      </c>
      <c r="Z63" s="14">
        <v>732</v>
      </c>
      <c r="AA63" s="12">
        <v>0.65650811734548564</v>
      </c>
      <c r="AU63" t="s">
        <v>68</v>
      </c>
      <c r="AV63">
        <v>3744</v>
      </c>
      <c r="AW63">
        <v>1</v>
      </c>
    </row>
    <row r="64" spans="1:49" x14ac:dyDescent="0.35">
      <c r="A64" s="14">
        <v>742</v>
      </c>
      <c r="B64" s="12">
        <v>0.47499125568380551</v>
      </c>
      <c r="L64" s="14">
        <v>1121</v>
      </c>
      <c r="M64" s="12">
        <v>0.87421944692239073</v>
      </c>
      <c r="Z64" s="14">
        <v>742</v>
      </c>
      <c r="AA64" s="12">
        <v>0.52500874431619449</v>
      </c>
      <c r="AU64" t="s">
        <v>69</v>
      </c>
      <c r="AV64">
        <v>3288</v>
      </c>
      <c r="AW64">
        <v>1</v>
      </c>
    </row>
    <row r="65" spans="1:49" x14ac:dyDescent="0.35">
      <c r="A65" s="14">
        <v>743</v>
      </c>
      <c r="B65" s="12">
        <v>0.61870503597122306</v>
      </c>
      <c r="L65" s="14">
        <v>1152</v>
      </c>
      <c r="M65" s="12">
        <v>0.70746527777777779</v>
      </c>
      <c r="Z65" s="14">
        <v>743</v>
      </c>
      <c r="AA65" s="12">
        <v>0.38129496402877694</v>
      </c>
      <c r="AU65" t="s">
        <v>70</v>
      </c>
      <c r="AV65">
        <v>5414</v>
      </c>
      <c r="AW65">
        <v>1</v>
      </c>
    </row>
    <row r="66" spans="1:49" x14ac:dyDescent="0.35">
      <c r="A66" s="14">
        <v>812</v>
      </c>
      <c r="B66" s="12">
        <v>0.63487099296325256</v>
      </c>
      <c r="L66" s="14">
        <v>1166</v>
      </c>
      <c r="M66" s="12">
        <v>0.76758147512864494</v>
      </c>
      <c r="Z66" s="14">
        <v>812</v>
      </c>
      <c r="AA66" s="12">
        <v>0.36512900703674744</v>
      </c>
      <c r="AU66" t="s">
        <v>71</v>
      </c>
      <c r="AV66">
        <v>1714</v>
      </c>
      <c r="AW66">
        <v>1</v>
      </c>
    </row>
    <row r="67" spans="1:49" x14ac:dyDescent="0.35">
      <c r="A67" s="14">
        <v>829</v>
      </c>
      <c r="B67" s="12">
        <v>0.49452554744525545</v>
      </c>
      <c r="L67" s="14">
        <v>1170</v>
      </c>
      <c r="M67" s="12">
        <v>0.94957264957264953</v>
      </c>
      <c r="Z67" s="14">
        <v>829</v>
      </c>
      <c r="AA67" s="12">
        <v>0.50547445255474455</v>
      </c>
      <c r="AU67" t="s">
        <v>72</v>
      </c>
      <c r="AV67">
        <v>1331</v>
      </c>
      <c r="AW67">
        <v>1</v>
      </c>
    </row>
    <row r="68" spans="1:49" x14ac:dyDescent="0.35">
      <c r="A68" s="14">
        <v>840</v>
      </c>
      <c r="B68" s="12">
        <v>0.2987344403919458</v>
      </c>
      <c r="L68" s="14">
        <v>1210</v>
      </c>
      <c r="M68" s="12">
        <v>0.74628099173553719</v>
      </c>
      <c r="Z68" s="14">
        <v>840</v>
      </c>
      <c r="AA68" s="12">
        <v>0.70126555960805426</v>
      </c>
      <c r="AU68" t="s">
        <v>73</v>
      </c>
      <c r="AV68">
        <v>1033</v>
      </c>
      <c r="AW68">
        <v>1</v>
      </c>
    </row>
    <row r="69" spans="1:49" x14ac:dyDescent="0.35">
      <c r="A69" s="14">
        <v>866</v>
      </c>
      <c r="B69" s="12">
        <v>0.34500318268618713</v>
      </c>
      <c r="L69" s="14">
        <v>1244</v>
      </c>
      <c r="M69" s="12">
        <v>0.795016077170418</v>
      </c>
      <c r="Z69" s="14">
        <v>866</v>
      </c>
      <c r="AA69" s="12">
        <v>0.65499681731381287</v>
      </c>
      <c r="AU69" t="s">
        <v>74</v>
      </c>
      <c r="AV69">
        <v>314</v>
      </c>
      <c r="AW69">
        <v>1</v>
      </c>
    </row>
    <row r="70" spans="1:49" x14ac:dyDescent="0.35">
      <c r="A70" s="14">
        <v>916</v>
      </c>
      <c r="B70" s="12">
        <v>0.3695886280422141</v>
      </c>
      <c r="L70" s="14">
        <v>1255</v>
      </c>
      <c r="M70" s="12">
        <v>0.89800796812749006</v>
      </c>
      <c r="Z70" s="14">
        <v>916</v>
      </c>
      <c r="AA70" s="12">
        <v>0.63041137195778596</v>
      </c>
      <c r="AU70" t="s">
        <v>75</v>
      </c>
      <c r="AV70">
        <v>13194</v>
      </c>
      <c r="AW70">
        <v>1</v>
      </c>
    </row>
    <row r="71" spans="1:49" x14ac:dyDescent="0.35">
      <c r="A71" s="14">
        <v>962</v>
      </c>
      <c r="B71" s="12">
        <v>0.21103337538708566</v>
      </c>
      <c r="L71" s="14">
        <v>1375</v>
      </c>
      <c r="M71" s="12">
        <v>0.9396363636363636</v>
      </c>
      <c r="Z71" s="14">
        <v>962</v>
      </c>
      <c r="AA71" s="12">
        <v>0.78896662461291434</v>
      </c>
      <c r="AU71" t="s">
        <v>76</v>
      </c>
      <c r="AV71">
        <v>5684</v>
      </c>
      <c r="AW71">
        <v>1</v>
      </c>
    </row>
    <row r="72" spans="1:49" x14ac:dyDescent="0.35">
      <c r="A72" s="14">
        <v>998</v>
      </c>
      <c r="B72" s="12">
        <v>0.4944500504540868</v>
      </c>
      <c r="L72" s="14">
        <v>1688</v>
      </c>
      <c r="M72" s="12">
        <v>0.89099526066350709</v>
      </c>
      <c r="Z72" s="14">
        <v>998</v>
      </c>
      <c r="AA72" s="12">
        <v>0.50554994954591326</v>
      </c>
      <c r="AU72" t="s">
        <v>77</v>
      </c>
      <c r="AV72">
        <v>2872</v>
      </c>
      <c r="AW72">
        <v>1</v>
      </c>
    </row>
    <row r="73" spans="1:49" x14ac:dyDescent="0.35">
      <c r="A73" s="14">
        <v>1000</v>
      </c>
      <c r="B73" s="12">
        <v>0.49167927382753401</v>
      </c>
      <c r="L73" s="14">
        <v>1690</v>
      </c>
      <c r="M73" s="12">
        <v>0.91360946745562133</v>
      </c>
      <c r="Z73" s="14">
        <v>1000</v>
      </c>
      <c r="AA73" s="12">
        <v>0.50832072617246604</v>
      </c>
      <c r="AU73" t="s">
        <v>78</v>
      </c>
      <c r="AV73">
        <v>12</v>
      </c>
      <c r="AW73">
        <v>1</v>
      </c>
    </row>
    <row r="74" spans="1:49" x14ac:dyDescent="0.35">
      <c r="A74" s="14">
        <v>1018</v>
      </c>
      <c r="B74" s="12">
        <v>0.47241379310344828</v>
      </c>
      <c r="L74" s="14">
        <v>1792</v>
      </c>
      <c r="M74" s="12">
        <v>0.9497767857142857</v>
      </c>
      <c r="Z74" s="14">
        <v>1018</v>
      </c>
      <c r="AA74" s="12">
        <v>0.52758620689655178</v>
      </c>
      <c r="AU74" t="s">
        <v>79</v>
      </c>
      <c r="AV74">
        <v>6272</v>
      </c>
      <c r="AW74">
        <v>1</v>
      </c>
    </row>
    <row r="75" spans="1:49" x14ac:dyDescent="0.35">
      <c r="A75" s="14">
        <v>1043</v>
      </c>
      <c r="B75" s="12">
        <v>0.38160325083117841</v>
      </c>
      <c r="L75" s="14">
        <v>1838</v>
      </c>
      <c r="M75" s="12">
        <v>0.83351468988030464</v>
      </c>
      <c r="Z75" s="14">
        <v>1043</v>
      </c>
      <c r="AA75" s="12">
        <v>0.61839674916882159</v>
      </c>
      <c r="AU75" t="s">
        <v>80</v>
      </c>
      <c r="AV75">
        <v>4583</v>
      </c>
      <c r="AW75">
        <v>1</v>
      </c>
    </row>
    <row r="76" spans="1:49" x14ac:dyDescent="0.35">
      <c r="A76" s="14">
        <v>1056</v>
      </c>
      <c r="B76" s="12">
        <v>0.48766737138830163</v>
      </c>
      <c r="L76" s="14">
        <v>1897</v>
      </c>
      <c r="M76" s="12">
        <v>0.81866104375329463</v>
      </c>
      <c r="Z76" s="14">
        <v>1056</v>
      </c>
      <c r="AA76" s="12">
        <v>0.51233262861169837</v>
      </c>
      <c r="AU76" t="s">
        <v>81</v>
      </c>
      <c r="AV76">
        <v>833</v>
      </c>
      <c r="AW76">
        <v>1</v>
      </c>
    </row>
    <row r="77" spans="1:49" x14ac:dyDescent="0.35">
      <c r="A77" s="14">
        <v>1059</v>
      </c>
      <c r="B77" s="12">
        <v>0.38</v>
      </c>
      <c r="L77" s="14">
        <v>2090</v>
      </c>
      <c r="M77" s="12">
        <v>0.84449760765550241</v>
      </c>
      <c r="Z77" s="14">
        <v>1059</v>
      </c>
      <c r="AA77" s="12">
        <v>0.62</v>
      </c>
      <c r="AU77" t="s">
        <v>82</v>
      </c>
      <c r="AV77">
        <v>2363</v>
      </c>
      <c r="AW77">
        <v>1</v>
      </c>
    </row>
    <row r="78" spans="1:49" x14ac:dyDescent="0.35">
      <c r="A78" s="14">
        <v>1221</v>
      </c>
      <c r="B78" s="12">
        <v>0.30091027308192458</v>
      </c>
      <c r="L78" s="14">
        <v>2265</v>
      </c>
      <c r="M78" s="12">
        <v>0.78940397350993374</v>
      </c>
      <c r="Z78" s="14">
        <v>1221</v>
      </c>
      <c r="AA78" s="12">
        <v>0.69908972691807536</v>
      </c>
      <c r="AU78" t="s">
        <v>83</v>
      </c>
      <c r="AV78">
        <v>11329</v>
      </c>
      <c r="AW78">
        <v>1</v>
      </c>
    </row>
    <row r="79" spans="1:49" x14ac:dyDescent="0.35">
      <c r="A79" s="14">
        <v>1275</v>
      </c>
      <c r="B79" s="12">
        <v>0.73805992287155142</v>
      </c>
      <c r="L79" s="14">
        <v>2400</v>
      </c>
      <c r="M79" s="12">
        <v>0.92749999999999999</v>
      </c>
      <c r="Z79" s="14">
        <v>1275</v>
      </c>
      <c r="AA79" s="12">
        <v>0.26194007712844858</v>
      </c>
      <c r="AU79" t="s">
        <v>84</v>
      </c>
      <c r="AV79">
        <v>15494</v>
      </c>
      <c r="AW79">
        <v>1</v>
      </c>
    </row>
    <row r="80" spans="1:49" x14ac:dyDescent="0.35">
      <c r="A80" s="14">
        <v>1399</v>
      </c>
      <c r="B80" s="12">
        <v>0.33241620810405204</v>
      </c>
      <c r="L80" s="14">
        <v>2527</v>
      </c>
      <c r="M80" s="12">
        <v>0.89552829442026116</v>
      </c>
      <c r="Z80" s="14">
        <v>1399</v>
      </c>
      <c r="AA80" s="12">
        <v>0.66758379189594796</v>
      </c>
      <c r="AU80" t="s">
        <v>85</v>
      </c>
      <c r="AV80">
        <v>270</v>
      </c>
      <c r="AW80">
        <v>1</v>
      </c>
    </row>
    <row r="81" spans="1:49" x14ac:dyDescent="0.35">
      <c r="A81" s="14">
        <v>1425</v>
      </c>
      <c r="B81" s="12">
        <v>0.37359054476293979</v>
      </c>
      <c r="L81" s="14">
        <v>2549</v>
      </c>
      <c r="M81" s="12">
        <v>0.76343664182032167</v>
      </c>
      <c r="Z81" s="14">
        <v>1425</v>
      </c>
      <c r="AA81" s="12">
        <v>0.62640945523706026</v>
      </c>
      <c r="AU81" t="s">
        <v>86</v>
      </c>
      <c r="AV81">
        <v>4713</v>
      </c>
      <c r="AW81">
        <v>1</v>
      </c>
    </row>
    <row r="82" spans="1:49" x14ac:dyDescent="0.35">
      <c r="A82" s="14">
        <v>1434</v>
      </c>
      <c r="B82" s="12">
        <v>0.6420681551116334</v>
      </c>
      <c r="L82" s="14">
        <v>3173</v>
      </c>
      <c r="M82" s="12">
        <v>0.85597226599432719</v>
      </c>
      <c r="Z82" s="14">
        <v>1434</v>
      </c>
      <c r="AA82" s="12">
        <v>0.3579318448883666</v>
      </c>
      <c r="AU82" t="s">
        <v>87</v>
      </c>
      <c r="AV82">
        <v>747</v>
      </c>
      <c r="AW82">
        <v>1</v>
      </c>
    </row>
    <row r="83" spans="1:49" x14ac:dyDescent="0.35">
      <c r="A83" s="14">
        <v>1492</v>
      </c>
      <c r="B83" s="12">
        <v>0.43850110213078619</v>
      </c>
      <c r="L83" s="14">
        <v>3543</v>
      </c>
      <c r="M83" s="12">
        <v>0.97516229184307079</v>
      </c>
      <c r="Z83" s="14">
        <v>1492</v>
      </c>
      <c r="AA83" s="12">
        <v>0.56149889786921381</v>
      </c>
      <c r="AU83" t="s">
        <v>88</v>
      </c>
      <c r="AV83">
        <v>1191</v>
      </c>
      <c r="AW83">
        <v>1</v>
      </c>
    </row>
    <row r="84" spans="1:49" x14ac:dyDescent="0.35">
      <c r="A84" s="14">
        <v>1519</v>
      </c>
      <c r="B84" s="12">
        <v>0.26604289875540649</v>
      </c>
      <c r="L84" s="14">
        <v>3623</v>
      </c>
      <c r="M84" s="12">
        <v>0.91609163676511174</v>
      </c>
      <c r="Z84" s="14">
        <v>1519</v>
      </c>
      <c r="AA84" s="12">
        <v>0.73395710124459357</v>
      </c>
      <c r="AU84" t="s">
        <v>89</v>
      </c>
      <c r="AV84">
        <v>1345</v>
      </c>
      <c r="AW84">
        <v>1</v>
      </c>
    </row>
    <row r="85" spans="1:49" x14ac:dyDescent="0.35">
      <c r="A85" s="14">
        <v>1594</v>
      </c>
      <c r="B85" s="12">
        <v>0.5524278676988037</v>
      </c>
      <c r="L85" s="14">
        <v>3820</v>
      </c>
      <c r="M85" s="12">
        <v>0.82984293193717273</v>
      </c>
      <c r="Z85" s="14">
        <v>1594</v>
      </c>
      <c r="AA85" s="12">
        <v>0.4475721323011963</v>
      </c>
      <c r="AU85" t="s">
        <v>90</v>
      </c>
      <c r="AV85">
        <v>2292</v>
      </c>
      <c r="AW85">
        <v>1</v>
      </c>
    </row>
    <row r="86" spans="1:49" x14ac:dyDescent="0.35">
      <c r="A86" s="14">
        <v>2117</v>
      </c>
      <c r="B86" s="12">
        <v>0.41400454950054394</v>
      </c>
      <c r="L86" s="14">
        <v>4419</v>
      </c>
      <c r="M86" s="12">
        <v>0.83208870785245526</v>
      </c>
      <c r="Z86" s="14">
        <v>2117</v>
      </c>
      <c r="AA86" s="12">
        <v>0.58599545049945601</v>
      </c>
      <c r="AU86" t="s">
        <v>91</v>
      </c>
      <c r="AV86">
        <v>2283</v>
      </c>
      <c r="AW86">
        <v>1</v>
      </c>
    </row>
    <row r="87" spans="1:49" x14ac:dyDescent="0.35">
      <c r="A87" s="14">
        <v>2532</v>
      </c>
      <c r="B87" s="12">
        <v>0.35209125475285169</v>
      </c>
      <c r="L87" s="14">
        <v>5128</v>
      </c>
      <c r="M87" s="12">
        <v>0.95280811232449303</v>
      </c>
      <c r="Z87" s="14">
        <v>2532</v>
      </c>
      <c r="AA87" s="12">
        <v>0.64790874524714837</v>
      </c>
      <c r="AU87" t="s">
        <v>92</v>
      </c>
      <c r="AV87">
        <v>1864</v>
      </c>
      <c r="AW87">
        <v>1</v>
      </c>
    </row>
    <row r="88" spans="1:49" x14ac:dyDescent="0.35">
      <c r="A88" s="14">
        <v>2587</v>
      </c>
      <c r="B88" s="12">
        <v>0.32696527688137345</v>
      </c>
      <c r="L88" s="14">
        <v>5416</v>
      </c>
      <c r="M88" s="12">
        <v>0.91525110782865582</v>
      </c>
      <c r="Z88" s="14">
        <v>2587</v>
      </c>
      <c r="AA88" s="12">
        <v>0.67303472311862655</v>
      </c>
      <c r="AU88" t="s">
        <v>93</v>
      </c>
      <c r="AV88">
        <v>2754</v>
      </c>
      <c r="AW88">
        <v>1</v>
      </c>
    </row>
    <row r="89" spans="1:49" x14ac:dyDescent="0.35">
      <c r="A89" s="14" t="s">
        <v>159</v>
      </c>
      <c r="B89" s="12">
        <v>0.3355245014534487</v>
      </c>
      <c r="L89" s="14">
        <v>5770</v>
      </c>
      <c r="M89" s="12">
        <v>0.95892547660311955</v>
      </c>
      <c r="Z89" s="14" t="s">
        <v>159</v>
      </c>
      <c r="AA89" s="12">
        <v>0.66447549854655141</v>
      </c>
      <c r="AU89" t="s">
        <v>94</v>
      </c>
      <c r="AV89">
        <v>235</v>
      </c>
      <c r="AW89">
        <v>1</v>
      </c>
    </row>
    <row r="90" spans="1:49" x14ac:dyDescent="0.35">
      <c r="L90" s="14">
        <v>7334</v>
      </c>
      <c r="M90" s="12">
        <v>0.97300245432233434</v>
      </c>
      <c r="AU90" t="s">
        <v>95</v>
      </c>
      <c r="AV90">
        <v>1667</v>
      </c>
      <c r="AW90">
        <v>1</v>
      </c>
    </row>
    <row r="91" spans="1:49" x14ac:dyDescent="0.35">
      <c r="L91" s="14">
        <v>8107</v>
      </c>
      <c r="M91" s="12">
        <v>0.94227211052177129</v>
      </c>
      <c r="AU91" t="s">
        <v>96</v>
      </c>
      <c r="AV91">
        <v>3511</v>
      </c>
      <c r="AW91">
        <v>1</v>
      </c>
    </row>
    <row r="92" spans="1:49" x14ac:dyDescent="0.35">
      <c r="L92" s="14" t="s">
        <v>159</v>
      </c>
      <c r="M92" s="12">
        <v>0.83199447436612295</v>
      </c>
      <c r="AU92" t="s">
        <v>97</v>
      </c>
      <c r="AV92">
        <v>1534</v>
      </c>
      <c r="AW92">
        <v>1</v>
      </c>
    </row>
    <row r="93" spans="1:49" x14ac:dyDescent="0.35">
      <c r="AU93" t="s">
        <v>159</v>
      </c>
      <c r="AV93">
        <v>301966</v>
      </c>
      <c r="AW93">
        <v>91</v>
      </c>
    </row>
    <row r="94" spans="1:49" x14ac:dyDescent="0.35">
      <c r="A94" s="7" t="s">
        <v>0</v>
      </c>
      <c r="B94" s="12" t="s">
        <v>203</v>
      </c>
    </row>
    <row r="95" spans="1:49" x14ac:dyDescent="0.35">
      <c r="Z95" s="7" t="s">
        <v>0</v>
      </c>
      <c r="AA95" t="s">
        <v>203</v>
      </c>
    </row>
    <row r="96" spans="1:49" x14ac:dyDescent="0.35">
      <c r="A96" s="7" t="s">
        <v>4</v>
      </c>
      <c r="B96" t="s">
        <v>174</v>
      </c>
    </row>
    <row r="97" spans="1:27" x14ac:dyDescent="0.35">
      <c r="A97" s="14">
        <v>0</v>
      </c>
      <c r="B97" s="12">
        <v>0</v>
      </c>
      <c r="Z97" s="7" t="s">
        <v>4</v>
      </c>
      <c r="AA97" t="s">
        <v>187</v>
      </c>
    </row>
    <row r="98" spans="1:27" x14ac:dyDescent="0.35">
      <c r="A98" s="14">
        <v>8</v>
      </c>
      <c r="B98" s="12">
        <v>1.3333333333333333</v>
      </c>
      <c r="L98" s="7" t="s">
        <v>0</v>
      </c>
      <c r="M98" t="s">
        <v>203</v>
      </c>
      <c r="Z98" s="14">
        <v>0</v>
      </c>
      <c r="AA98" s="12">
        <v>1</v>
      </c>
    </row>
    <row r="99" spans="1:27" x14ac:dyDescent="0.35">
      <c r="A99" s="14">
        <v>59</v>
      </c>
      <c r="B99" s="12">
        <v>0.24197530864197531</v>
      </c>
      <c r="Z99" s="14">
        <v>8</v>
      </c>
      <c r="AA99" s="12">
        <v>-0.33333333333333326</v>
      </c>
    </row>
    <row r="100" spans="1:27" x14ac:dyDescent="0.35">
      <c r="A100" s="14">
        <v>66</v>
      </c>
      <c r="B100" s="12">
        <v>0.28697679708826207</v>
      </c>
      <c r="L100" s="7" t="s">
        <v>5</v>
      </c>
      <c r="M100" t="s">
        <v>184</v>
      </c>
      <c r="Z100" s="14">
        <v>59</v>
      </c>
      <c r="AA100" s="12">
        <v>0.75802469135802464</v>
      </c>
    </row>
    <row r="101" spans="1:27" x14ac:dyDescent="0.35">
      <c r="A101" s="14">
        <v>67</v>
      </c>
      <c r="B101" s="12">
        <v>0.49629629629629629</v>
      </c>
      <c r="L101" s="14">
        <v>0</v>
      </c>
      <c r="M101" s="12">
        <v>0</v>
      </c>
      <c r="Z101" s="14">
        <v>66</v>
      </c>
      <c r="AA101" s="12">
        <v>0.71302320291173793</v>
      </c>
    </row>
    <row r="102" spans="1:27" x14ac:dyDescent="0.35">
      <c r="A102" s="14">
        <v>102</v>
      </c>
      <c r="B102" s="12">
        <v>0.40236686390532544</v>
      </c>
      <c r="L102" s="14">
        <v>4</v>
      </c>
      <c r="M102" s="12">
        <v>1</v>
      </c>
      <c r="Z102" s="14">
        <v>67</v>
      </c>
      <c r="AA102" s="12">
        <v>0.50370370370370376</v>
      </c>
    </row>
    <row r="103" spans="1:27" x14ac:dyDescent="0.35">
      <c r="A103" s="14">
        <v>104</v>
      </c>
      <c r="B103" s="12">
        <v>0.72058823529411764</v>
      </c>
      <c r="L103" s="14">
        <v>36</v>
      </c>
      <c r="M103" s="12">
        <v>0.33333333333333331</v>
      </c>
      <c r="Z103" s="14">
        <v>102</v>
      </c>
      <c r="AA103" s="12">
        <v>0.5976331360946745</v>
      </c>
    </row>
    <row r="104" spans="1:27" x14ac:dyDescent="0.35">
      <c r="A104" s="14">
        <v>116</v>
      </c>
      <c r="B104" s="12">
        <v>0.95609756097560972</v>
      </c>
      <c r="L104" s="14">
        <v>66</v>
      </c>
      <c r="M104" s="12">
        <v>0.78787878787878785</v>
      </c>
      <c r="Z104" s="14">
        <v>104</v>
      </c>
      <c r="AA104" s="12">
        <v>0.27941176470588236</v>
      </c>
    </row>
    <row r="105" spans="1:27" x14ac:dyDescent="0.35">
      <c r="A105" s="14">
        <v>122</v>
      </c>
      <c r="B105" s="12">
        <v>0.51895043731778423</v>
      </c>
      <c r="L105" s="14">
        <v>70</v>
      </c>
      <c r="M105" s="12">
        <v>1</v>
      </c>
      <c r="Z105" s="14">
        <v>116</v>
      </c>
      <c r="AA105" s="12">
        <v>4.3902439024390283E-2</v>
      </c>
    </row>
    <row r="106" spans="1:27" x14ac:dyDescent="0.35">
      <c r="A106" s="14">
        <v>132</v>
      </c>
      <c r="B106" s="12">
        <v>0.26104830421377184</v>
      </c>
      <c r="L106" s="14">
        <v>103</v>
      </c>
      <c r="M106" s="12">
        <v>0.92233009708737868</v>
      </c>
      <c r="Z106" s="14">
        <v>122</v>
      </c>
      <c r="AA106" s="12">
        <v>0.48104956268221577</v>
      </c>
    </row>
    <row r="107" spans="1:27" x14ac:dyDescent="0.35">
      <c r="A107" s="14">
        <v>136</v>
      </c>
      <c r="B107" s="12">
        <v>0.62783171521035597</v>
      </c>
      <c r="L107" s="14">
        <v>111</v>
      </c>
      <c r="M107" s="12">
        <v>0.72972972972972971</v>
      </c>
      <c r="Z107" s="14">
        <v>132</v>
      </c>
      <c r="AA107" s="12">
        <v>0.7389516957862281</v>
      </c>
    </row>
    <row r="108" spans="1:27" x14ac:dyDescent="0.35">
      <c r="A108" s="14">
        <v>144</v>
      </c>
      <c r="B108" s="12">
        <v>0.74893617021276593</v>
      </c>
      <c r="L108" s="14">
        <v>115</v>
      </c>
      <c r="M108" s="12">
        <v>0.95652173913043481</v>
      </c>
      <c r="Z108" s="14">
        <v>136</v>
      </c>
      <c r="AA108" s="12">
        <v>0.37216828478964403</v>
      </c>
    </row>
    <row r="109" spans="1:27" x14ac:dyDescent="0.35">
      <c r="A109" s="14">
        <v>155</v>
      </c>
      <c r="B109" s="12">
        <v>0.33110367892976589</v>
      </c>
      <c r="L109" s="14">
        <v>135</v>
      </c>
      <c r="M109" s="12">
        <v>0.89629629629629626</v>
      </c>
      <c r="Z109" s="14">
        <v>144</v>
      </c>
      <c r="AA109" s="12">
        <v>0.25106382978723407</v>
      </c>
    </row>
    <row r="110" spans="1:27" x14ac:dyDescent="0.35">
      <c r="A110" s="14">
        <v>196</v>
      </c>
      <c r="B110" s="12">
        <v>0.28941176470588237</v>
      </c>
      <c r="L110" s="14">
        <v>200</v>
      </c>
      <c r="M110" s="12">
        <v>0.93</v>
      </c>
      <c r="Z110" s="14">
        <v>155</v>
      </c>
      <c r="AA110" s="12">
        <v>0.66889632107023411</v>
      </c>
    </row>
    <row r="111" spans="1:27" x14ac:dyDescent="0.35">
      <c r="A111" s="14">
        <v>209</v>
      </c>
      <c r="B111" s="12">
        <v>0.43697478991596639</v>
      </c>
      <c r="L111" s="14">
        <v>205</v>
      </c>
      <c r="M111" s="12">
        <v>0.86829268292682926</v>
      </c>
      <c r="Z111" s="14">
        <v>196</v>
      </c>
      <c r="AA111" s="12">
        <v>0.71058823529411763</v>
      </c>
    </row>
    <row r="112" spans="1:27" x14ac:dyDescent="0.35">
      <c r="A112" s="14">
        <v>215</v>
      </c>
      <c r="B112" s="12">
        <v>0.44808743169398907</v>
      </c>
      <c r="L112" s="14">
        <v>223</v>
      </c>
      <c r="M112" s="12">
        <v>0.6905829596412556</v>
      </c>
      <c r="Z112" s="14">
        <v>209</v>
      </c>
      <c r="AA112" s="12">
        <v>0.56302521008403361</v>
      </c>
    </row>
    <row r="113" spans="1:27" x14ac:dyDescent="0.35">
      <c r="A113" s="14">
        <v>236</v>
      </c>
      <c r="B113" s="12">
        <v>0.69508196721311477</v>
      </c>
      <c r="L113" s="14">
        <v>229</v>
      </c>
      <c r="M113" s="12">
        <v>0.97816593886462877</v>
      </c>
      <c r="Z113" s="14">
        <v>215</v>
      </c>
      <c r="AA113" s="12">
        <v>0.55191256830601088</v>
      </c>
    </row>
    <row r="114" spans="1:27" x14ac:dyDescent="0.35">
      <c r="A114" s="14">
        <v>242</v>
      </c>
      <c r="B114" s="12">
        <v>0.46037735849056605</v>
      </c>
      <c r="L114" s="14">
        <v>233</v>
      </c>
      <c r="M114" s="12">
        <v>0.871244635193133</v>
      </c>
      <c r="Z114" s="14">
        <v>236</v>
      </c>
      <c r="AA114" s="12">
        <v>0.30491803278688523</v>
      </c>
    </row>
    <row r="115" spans="1:27" x14ac:dyDescent="0.35">
      <c r="A115" s="14">
        <v>243</v>
      </c>
      <c r="B115" s="12">
        <v>0.47047434656340753</v>
      </c>
      <c r="L115" s="14">
        <v>237</v>
      </c>
      <c r="M115" s="12">
        <v>0.94092827004219415</v>
      </c>
      <c r="Z115" s="14">
        <v>242</v>
      </c>
      <c r="AA115" s="12">
        <v>0.53962264150943395</v>
      </c>
    </row>
    <row r="116" spans="1:27" x14ac:dyDescent="0.35">
      <c r="A116" s="14">
        <v>264</v>
      </c>
      <c r="B116" s="12">
        <v>0.38364312267657991</v>
      </c>
      <c r="L116" s="14">
        <v>243</v>
      </c>
      <c r="M116" s="12">
        <v>0.76954732510288071</v>
      </c>
      <c r="Z116" s="14">
        <v>243</v>
      </c>
      <c r="AA116" s="12">
        <v>0.52952565343659241</v>
      </c>
    </row>
    <row r="117" spans="1:27" x14ac:dyDescent="0.35">
      <c r="A117" s="14">
        <v>280</v>
      </c>
      <c r="B117" s="12">
        <v>0.35905511811023622</v>
      </c>
      <c r="L117" s="14">
        <v>261</v>
      </c>
      <c r="M117" s="12">
        <v>0.88122605363984674</v>
      </c>
      <c r="Z117" s="14">
        <v>264</v>
      </c>
      <c r="AA117" s="12">
        <v>0.61635687732342004</v>
      </c>
    </row>
    <row r="118" spans="1:27" x14ac:dyDescent="0.35">
      <c r="A118" s="14">
        <v>287</v>
      </c>
      <c r="B118" s="12">
        <v>0.38958858102434929</v>
      </c>
      <c r="L118" s="14">
        <v>276</v>
      </c>
      <c r="M118" s="12">
        <v>0.85144927536231885</v>
      </c>
      <c r="Z118" s="14">
        <v>280</v>
      </c>
      <c r="AA118" s="12">
        <v>0.64094488188976384</v>
      </c>
    </row>
    <row r="119" spans="1:27" x14ac:dyDescent="0.35">
      <c r="A119" s="14">
        <v>302</v>
      </c>
      <c r="B119" s="12">
        <v>0.33623576691225721</v>
      </c>
      <c r="L119" s="14">
        <v>287</v>
      </c>
      <c r="M119" s="12">
        <v>0.91289198606271782</v>
      </c>
      <c r="Z119" s="14">
        <v>287</v>
      </c>
      <c r="AA119" s="12">
        <v>0.61041141897565065</v>
      </c>
    </row>
    <row r="120" spans="1:27" x14ac:dyDescent="0.35">
      <c r="A120" s="14">
        <v>318</v>
      </c>
      <c r="B120" s="12">
        <v>0.44801512287334594</v>
      </c>
      <c r="L120" s="14">
        <v>293</v>
      </c>
      <c r="M120" s="12">
        <v>0.70307167235494883</v>
      </c>
      <c r="Z120" s="14">
        <v>302</v>
      </c>
      <c r="AA120" s="12">
        <v>0.66376423308774279</v>
      </c>
    </row>
    <row r="121" spans="1:27" x14ac:dyDescent="0.35">
      <c r="A121" s="14">
        <v>335</v>
      </c>
      <c r="B121" s="12">
        <v>0.41329856584093871</v>
      </c>
      <c r="L121" s="14">
        <v>323</v>
      </c>
      <c r="M121" s="12">
        <v>0.90402476780185759</v>
      </c>
      <c r="Z121" s="14">
        <v>318</v>
      </c>
      <c r="AA121" s="12">
        <v>0.55198487712665401</v>
      </c>
    </row>
    <row r="122" spans="1:27" x14ac:dyDescent="0.35">
      <c r="A122" s="14">
        <v>364</v>
      </c>
      <c r="B122" s="12">
        <v>0.49518161601186061</v>
      </c>
      <c r="L122" s="14">
        <v>342</v>
      </c>
      <c r="M122" s="12">
        <v>0.91520467836257313</v>
      </c>
      <c r="Z122" s="14">
        <v>335</v>
      </c>
      <c r="AA122" s="12">
        <v>0.58670143415906129</v>
      </c>
    </row>
    <row r="123" spans="1:27" x14ac:dyDescent="0.35">
      <c r="A123" s="14">
        <v>369</v>
      </c>
      <c r="B123" s="12">
        <v>0.27144535840188017</v>
      </c>
      <c r="L123" s="14">
        <v>345</v>
      </c>
      <c r="M123" s="12">
        <v>0.80579710144927541</v>
      </c>
      <c r="Z123" s="14">
        <v>364</v>
      </c>
      <c r="AA123" s="12">
        <v>0.50481838398813939</v>
      </c>
    </row>
    <row r="124" spans="1:27" x14ac:dyDescent="0.35">
      <c r="A124" s="14">
        <v>372</v>
      </c>
      <c r="B124" s="12">
        <v>0.99598393574297184</v>
      </c>
      <c r="L124" s="14">
        <v>368</v>
      </c>
      <c r="M124" s="12">
        <v>0.82336956521739135</v>
      </c>
      <c r="Z124" s="14">
        <v>369</v>
      </c>
      <c r="AA124" s="12">
        <v>0.72855464159811989</v>
      </c>
    </row>
    <row r="125" spans="1:27" x14ac:dyDescent="0.35">
      <c r="A125" s="14">
        <v>450</v>
      </c>
      <c r="B125" s="12">
        <v>0.41025641025641024</v>
      </c>
      <c r="L125" s="14">
        <v>379</v>
      </c>
      <c r="M125" s="12">
        <v>0.94195250659630603</v>
      </c>
      <c r="Z125" s="14">
        <v>372</v>
      </c>
      <c r="AA125" s="12">
        <v>4.0160642570281624E-3</v>
      </c>
    </row>
    <row r="126" spans="1:27" x14ac:dyDescent="0.35">
      <c r="A126" s="14">
        <v>465</v>
      </c>
      <c r="B126" s="12">
        <v>0.31974248927038629</v>
      </c>
      <c r="L126" s="14">
        <v>388</v>
      </c>
      <c r="M126" s="12">
        <v>0.84020618556701032</v>
      </c>
      <c r="Z126" s="14">
        <v>450</v>
      </c>
      <c r="AA126" s="12">
        <v>0.58974358974358976</v>
      </c>
    </row>
    <row r="127" spans="1:27" x14ac:dyDescent="0.35">
      <c r="A127" s="14">
        <v>470</v>
      </c>
      <c r="B127" s="12">
        <v>0.2720875684128225</v>
      </c>
      <c r="L127" s="14">
        <v>399</v>
      </c>
      <c r="M127" s="12">
        <v>0.85463659147869675</v>
      </c>
      <c r="Z127" s="14">
        <v>465</v>
      </c>
      <c r="AA127" s="12">
        <v>0.68025751072961371</v>
      </c>
    </row>
    <row r="128" spans="1:27" x14ac:dyDescent="0.35">
      <c r="A128" s="14">
        <v>476</v>
      </c>
      <c r="B128" s="12">
        <v>0.36611802488960254</v>
      </c>
      <c r="L128" s="14">
        <v>433</v>
      </c>
      <c r="M128" s="12">
        <v>0.76443418013856812</v>
      </c>
      <c r="Z128" s="14">
        <v>470</v>
      </c>
      <c r="AA128" s="12">
        <v>0.72791243158717744</v>
      </c>
    </row>
    <row r="129" spans="1:27" x14ac:dyDescent="0.35">
      <c r="A129" s="14">
        <v>489</v>
      </c>
      <c r="B129" s="12">
        <v>0.44415445476185267</v>
      </c>
      <c r="L129" s="14">
        <v>438</v>
      </c>
      <c r="M129" s="12">
        <v>0.91552511415525117</v>
      </c>
      <c r="Z129" s="14">
        <v>476</v>
      </c>
      <c r="AA129" s="12">
        <v>0.63388197511039746</v>
      </c>
    </row>
    <row r="130" spans="1:27" x14ac:dyDescent="0.35">
      <c r="A130" s="14">
        <v>505</v>
      </c>
      <c r="B130" s="12">
        <v>0.39526026237833262</v>
      </c>
      <c r="L130" s="14">
        <v>451</v>
      </c>
      <c r="M130" s="12">
        <v>0.98669623059866962</v>
      </c>
      <c r="Z130" s="14">
        <v>489</v>
      </c>
      <c r="AA130" s="12">
        <v>0.55584554523814733</v>
      </c>
    </row>
    <row r="131" spans="1:27" x14ac:dyDescent="0.35">
      <c r="A131" s="14">
        <v>512</v>
      </c>
      <c r="B131" s="12">
        <v>0.3802247191011236</v>
      </c>
      <c r="L131" s="14">
        <v>482</v>
      </c>
      <c r="M131" s="12">
        <v>0.70331950207468885</v>
      </c>
      <c r="Z131" s="14">
        <v>505</v>
      </c>
      <c r="AA131" s="12">
        <v>0.60473973762166744</v>
      </c>
    </row>
    <row r="132" spans="1:27" x14ac:dyDescent="0.35">
      <c r="A132" s="14">
        <v>545</v>
      </c>
      <c r="B132" s="12">
        <v>0.33304042179261861</v>
      </c>
      <c r="L132" s="14">
        <v>487</v>
      </c>
      <c r="M132" s="12">
        <v>0.92402464065708423</v>
      </c>
      <c r="Z132" s="14">
        <v>512</v>
      </c>
      <c r="AA132" s="12">
        <v>0.61977528089887635</v>
      </c>
    </row>
    <row r="133" spans="1:27" x14ac:dyDescent="0.35">
      <c r="A133" s="14">
        <v>570</v>
      </c>
      <c r="B133" s="12">
        <v>0.39092872570194387</v>
      </c>
      <c r="L133" s="14">
        <v>503</v>
      </c>
      <c r="M133" s="12">
        <v>0.86282306163021871</v>
      </c>
      <c r="Z133" s="14">
        <v>545</v>
      </c>
      <c r="AA133" s="12">
        <v>0.66695957820738139</v>
      </c>
    </row>
    <row r="134" spans="1:27" x14ac:dyDescent="0.35">
      <c r="A134" s="14">
        <v>622</v>
      </c>
      <c r="B134" s="12">
        <v>0.48353909465020578</v>
      </c>
      <c r="L134" s="14">
        <v>544</v>
      </c>
      <c r="M134" s="12">
        <v>0.85477941176470584</v>
      </c>
      <c r="Z134" s="14">
        <v>570</v>
      </c>
      <c r="AA134" s="12">
        <v>0.60907127429805619</v>
      </c>
    </row>
    <row r="135" spans="1:27" x14ac:dyDescent="0.35">
      <c r="A135" s="14">
        <v>624</v>
      </c>
      <c r="B135" s="12">
        <v>0.34347674011892271</v>
      </c>
      <c r="L135" s="14">
        <v>581</v>
      </c>
      <c r="M135" s="12">
        <v>0.82444061962134252</v>
      </c>
      <c r="Z135" s="14">
        <v>622</v>
      </c>
      <c r="AA135" s="12">
        <v>0.51646090534979416</v>
      </c>
    </row>
    <row r="136" spans="1:27" x14ac:dyDescent="0.35">
      <c r="A136" s="14">
        <v>642</v>
      </c>
      <c r="B136" s="12">
        <v>0.47446300715990453</v>
      </c>
      <c r="L136" s="14">
        <v>585</v>
      </c>
      <c r="M136" s="12">
        <v>0.87863247863247862</v>
      </c>
      <c r="Z136" s="14">
        <v>624</v>
      </c>
      <c r="AA136" s="12">
        <v>0.65652325988107729</v>
      </c>
    </row>
    <row r="137" spans="1:27" x14ac:dyDescent="0.35">
      <c r="A137" s="14">
        <v>667</v>
      </c>
      <c r="B137" s="12">
        <v>0.28636753358102313</v>
      </c>
      <c r="L137" s="14">
        <v>589</v>
      </c>
      <c r="M137" s="12">
        <v>0.967741935483871</v>
      </c>
      <c r="Z137" s="14">
        <v>642</v>
      </c>
      <c r="AA137" s="12">
        <v>0.52553699284009547</v>
      </c>
    </row>
    <row r="138" spans="1:27" x14ac:dyDescent="0.35">
      <c r="A138" s="14">
        <v>693</v>
      </c>
      <c r="B138" s="12">
        <v>0.77012835472578767</v>
      </c>
      <c r="L138" s="14">
        <v>614</v>
      </c>
      <c r="M138" s="12">
        <v>0.94299674267100975</v>
      </c>
      <c r="Z138" s="14">
        <v>667</v>
      </c>
      <c r="AA138" s="12">
        <v>0.71363246641897682</v>
      </c>
    </row>
    <row r="139" spans="1:27" x14ac:dyDescent="0.35">
      <c r="A139" s="14">
        <v>701</v>
      </c>
      <c r="B139" s="12">
        <v>0.37226277372262773</v>
      </c>
      <c r="L139" s="14">
        <v>665</v>
      </c>
      <c r="M139" s="12">
        <v>0.8571428571428571</v>
      </c>
      <c r="Z139" s="14">
        <v>693</v>
      </c>
      <c r="AA139" s="12">
        <v>0.22987164527421233</v>
      </c>
    </row>
    <row r="140" spans="1:27" x14ac:dyDescent="0.35">
      <c r="A140" s="14">
        <v>721</v>
      </c>
      <c r="B140" s="12">
        <v>0.57117827420061318</v>
      </c>
      <c r="L140" s="14">
        <v>696</v>
      </c>
      <c r="M140" s="12">
        <v>0.82183908045977017</v>
      </c>
      <c r="Z140" s="14">
        <v>701</v>
      </c>
      <c r="AA140" s="12">
        <v>0.62773722627737227</v>
      </c>
    </row>
    <row r="141" spans="1:27" x14ac:dyDescent="0.35">
      <c r="A141" s="14">
        <v>723</v>
      </c>
      <c r="B141" s="12">
        <v>0.93763440860215053</v>
      </c>
      <c r="L141" s="14">
        <v>718</v>
      </c>
      <c r="M141" s="12">
        <v>0.88997214484679665</v>
      </c>
      <c r="Z141" s="14">
        <v>721</v>
      </c>
      <c r="AA141" s="12">
        <v>0.42882172579938682</v>
      </c>
    </row>
    <row r="142" spans="1:27" x14ac:dyDescent="0.35">
      <c r="A142" s="14">
        <v>737</v>
      </c>
      <c r="B142" s="12">
        <v>1.2480948348856902</v>
      </c>
      <c r="L142" s="14">
        <v>719</v>
      </c>
      <c r="M142" s="12">
        <v>0.87482614742698195</v>
      </c>
      <c r="Z142" s="14">
        <v>723</v>
      </c>
      <c r="AA142" s="12">
        <v>6.2365591397849474E-2</v>
      </c>
    </row>
    <row r="143" spans="1:27" x14ac:dyDescent="0.35">
      <c r="A143" s="14">
        <v>742</v>
      </c>
      <c r="B143" s="12">
        <v>0.54956383822363208</v>
      </c>
      <c r="L143" s="14">
        <v>744</v>
      </c>
      <c r="M143" s="12">
        <v>0.72715053763440862</v>
      </c>
      <c r="Z143" s="14">
        <v>737</v>
      </c>
      <c r="AA143" s="12">
        <v>-0.24809483488569017</v>
      </c>
    </row>
    <row r="144" spans="1:27" x14ac:dyDescent="0.35">
      <c r="A144" s="14">
        <v>743</v>
      </c>
      <c r="B144" s="12">
        <v>0.25886774723984024</v>
      </c>
      <c r="L144" s="14">
        <v>770</v>
      </c>
      <c r="M144" s="12">
        <v>0.89220779220779223</v>
      </c>
      <c r="Z144" s="14">
        <v>742</v>
      </c>
      <c r="AA144" s="12">
        <v>0.45043616177636792</v>
      </c>
    </row>
    <row r="145" spans="1:27" x14ac:dyDescent="0.35">
      <c r="A145" s="14">
        <v>789</v>
      </c>
      <c r="B145" s="12">
        <v>0.36665677840403443</v>
      </c>
      <c r="L145" s="14">
        <v>771</v>
      </c>
      <c r="M145" s="12">
        <v>0.82619974059662771</v>
      </c>
      <c r="Z145" s="14">
        <v>743</v>
      </c>
      <c r="AA145" s="12">
        <v>0.74113225276015982</v>
      </c>
    </row>
    <row r="146" spans="1:27" x14ac:dyDescent="0.35">
      <c r="A146" s="14">
        <v>817</v>
      </c>
      <c r="B146" s="12">
        <v>0.32394758851407862</v>
      </c>
      <c r="L146" s="14">
        <v>773</v>
      </c>
      <c r="M146" s="12">
        <v>0.84217335058214748</v>
      </c>
      <c r="Z146" s="14">
        <v>789</v>
      </c>
      <c r="AA146" s="12">
        <v>0.63334322159596557</v>
      </c>
    </row>
    <row r="147" spans="1:27" x14ac:dyDescent="0.35">
      <c r="A147" s="14">
        <v>832</v>
      </c>
      <c r="B147" s="12">
        <v>0.51887772774506413</v>
      </c>
      <c r="L147" s="14">
        <v>781</v>
      </c>
      <c r="M147" s="12">
        <v>0.81946222791293211</v>
      </c>
      <c r="Z147" s="14">
        <v>817</v>
      </c>
      <c r="AA147" s="12">
        <v>0.67605241148592143</v>
      </c>
    </row>
    <row r="148" spans="1:27" x14ac:dyDescent="0.35">
      <c r="A148" s="14">
        <v>885</v>
      </c>
      <c r="B148" s="12">
        <v>0.44328632740649909</v>
      </c>
      <c r="L148" s="14">
        <v>782</v>
      </c>
      <c r="M148" s="12">
        <v>0.89258312020460362</v>
      </c>
      <c r="Z148" s="14">
        <v>832</v>
      </c>
      <c r="AA148" s="12">
        <v>0.48112227225493587</v>
      </c>
    </row>
    <row r="149" spans="1:27" x14ac:dyDescent="0.35">
      <c r="A149" s="14">
        <v>902</v>
      </c>
      <c r="B149" s="12">
        <v>0.39532896610652235</v>
      </c>
      <c r="L149" s="14">
        <v>785</v>
      </c>
      <c r="M149" s="12">
        <v>0.92101910828025479</v>
      </c>
      <c r="Z149" s="14">
        <v>885</v>
      </c>
      <c r="AA149" s="12">
        <v>0.55671367259350091</v>
      </c>
    </row>
    <row r="150" spans="1:27" x14ac:dyDescent="0.35">
      <c r="A150" s="14">
        <v>919</v>
      </c>
      <c r="B150" s="12">
        <v>0.99700059988002399</v>
      </c>
      <c r="L150" s="14">
        <v>825</v>
      </c>
      <c r="M150" s="12">
        <v>0.7842424242424243</v>
      </c>
      <c r="Z150" s="14">
        <v>902</v>
      </c>
      <c r="AA150" s="12">
        <v>0.60467103389347765</v>
      </c>
    </row>
    <row r="151" spans="1:27" x14ac:dyDescent="0.35">
      <c r="A151" s="14">
        <v>957</v>
      </c>
      <c r="B151" s="12">
        <v>0.44711538461538464</v>
      </c>
      <c r="L151" s="14">
        <v>909</v>
      </c>
      <c r="M151" s="12">
        <v>0.89768976897689767</v>
      </c>
      <c r="Z151" s="14">
        <v>919</v>
      </c>
      <c r="AA151" s="12">
        <v>2.9994001199760145E-3</v>
      </c>
    </row>
    <row r="152" spans="1:27" x14ac:dyDescent="0.35">
      <c r="A152" s="14">
        <v>997</v>
      </c>
      <c r="B152" s="12">
        <v>0.41473259334006052</v>
      </c>
      <c r="L152" s="14">
        <v>957</v>
      </c>
      <c r="M152" s="12">
        <v>0.85579937304075238</v>
      </c>
      <c r="Z152" s="14">
        <v>957</v>
      </c>
      <c r="AA152" s="12">
        <v>0.55288461538461542</v>
      </c>
    </row>
    <row r="153" spans="1:27" x14ac:dyDescent="0.35">
      <c r="A153" s="14">
        <v>1010</v>
      </c>
      <c r="B153" s="12">
        <v>0.7013996889580093</v>
      </c>
      <c r="L153" s="14">
        <v>1007</v>
      </c>
      <c r="M153" s="12">
        <v>0.81132075471698117</v>
      </c>
      <c r="Z153" s="14">
        <v>997</v>
      </c>
      <c r="AA153" s="12">
        <v>0.58526740665993948</v>
      </c>
    </row>
    <row r="154" spans="1:27" x14ac:dyDescent="0.35">
      <c r="A154" s="14">
        <v>1053</v>
      </c>
      <c r="B154" s="12">
        <v>0.42730132369407337</v>
      </c>
      <c r="L154" s="14">
        <v>1009</v>
      </c>
      <c r="M154" s="12">
        <v>0.87016848364717547</v>
      </c>
      <c r="Z154" s="14">
        <v>1010</v>
      </c>
      <c r="AA154" s="12">
        <v>0.2986003110419907</v>
      </c>
    </row>
    <row r="155" spans="1:27" x14ac:dyDescent="0.35">
      <c r="A155" s="14">
        <v>1056</v>
      </c>
      <c r="B155" s="12">
        <v>0.38325769036812912</v>
      </c>
      <c r="L155" s="14">
        <v>1029</v>
      </c>
      <c r="M155" s="12">
        <v>0.90281827016520899</v>
      </c>
      <c r="Z155" s="14">
        <v>1053</v>
      </c>
      <c r="AA155" s="12">
        <v>0.57269867630592663</v>
      </c>
    </row>
    <row r="156" spans="1:27" x14ac:dyDescent="0.35">
      <c r="A156" s="14">
        <v>1071</v>
      </c>
      <c r="B156" s="12">
        <v>0.64851125635439366</v>
      </c>
      <c r="L156" s="14">
        <v>1037</v>
      </c>
      <c r="M156" s="12">
        <v>0.8939247830279653</v>
      </c>
      <c r="Z156" s="14">
        <v>1056</v>
      </c>
      <c r="AA156" s="12">
        <v>0.61674230963187093</v>
      </c>
    </row>
    <row r="157" spans="1:27" x14ac:dyDescent="0.35">
      <c r="A157" s="14">
        <v>1121</v>
      </c>
      <c r="B157" s="12">
        <v>1.0716238381629306</v>
      </c>
      <c r="L157" s="14">
        <v>1077</v>
      </c>
      <c r="M157" s="12">
        <v>0.88672237697307332</v>
      </c>
      <c r="Z157" s="14">
        <v>1071</v>
      </c>
      <c r="AA157" s="12">
        <v>0.35148874364560634</v>
      </c>
    </row>
    <row r="158" spans="1:27" x14ac:dyDescent="0.35">
      <c r="A158" s="14">
        <v>1152</v>
      </c>
      <c r="B158" s="12">
        <v>0.38307873090481787</v>
      </c>
      <c r="L158" s="14">
        <v>1102</v>
      </c>
      <c r="M158" s="12">
        <v>0.79038112522686021</v>
      </c>
      <c r="Z158" s="14">
        <v>1121</v>
      </c>
      <c r="AA158" s="12">
        <v>-7.1623838162930609E-2</v>
      </c>
    </row>
    <row r="159" spans="1:27" x14ac:dyDescent="0.35">
      <c r="A159" s="14">
        <v>1166</v>
      </c>
      <c r="B159" s="12">
        <v>0.44088669950738918</v>
      </c>
      <c r="L159" s="14">
        <v>1182</v>
      </c>
      <c r="M159" s="12">
        <v>0.8857868020304569</v>
      </c>
      <c r="Z159" s="14">
        <v>1152</v>
      </c>
      <c r="AA159" s="12">
        <v>0.61692126909518219</v>
      </c>
    </row>
    <row r="160" spans="1:27" x14ac:dyDescent="0.35">
      <c r="A160" s="14">
        <v>1170</v>
      </c>
      <c r="B160" s="12">
        <v>0.41041743627632066</v>
      </c>
      <c r="L160" s="14">
        <v>1187</v>
      </c>
      <c r="M160" s="12">
        <v>0.82982308340353839</v>
      </c>
      <c r="Z160" s="14">
        <v>1166</v>
      </c>
      <c r="AA160" s="12">
        <v>0.55911330049261077</v>
      </c>
    </row>
    <row r="161" spans="1:27" x14ac:dyDescent="0.35">
      <c r="A161" s="14">
        <v>1210</v>
      </c>
      <c r="B161" s="12">
        <v>0.38897264699547707</v>
      </c>
      <c r="L161" s="14">
        <v>1193</v>
      </c>
      <c r="M161" s="12">
        <v>0.81726739312657171</v>
      </c>
      <c r="Z161" s="14">
        <v>1170</v>
      </c>
      <c r="AA161" s="12">
        <v>0.58958256372367934</v>
      </c>
    </row>
    <row r="162" spans="1:27" x14ac:dyDescent="0.35">
      <c r="A162" s="14">
        <v>1244</v>
      </c>
      <c r="B162" s="12">
        <v>0.34799437016185786</v>
      </c>
      <c r="L162" s="14">
        <v>1272</v>
      </c>
      <c r="M162" s="12">
        <v>0.875</v>
      </c>
      <c r="Z162" s="14">
        <v>1210</v>
      </c>
      <c r="AA162" s="12">
        <v>0.61102735300452293</v>
      </c>
    </row>
    <row r="163" spans="1:27" x14ac:dyDescent="0.35">
      <c r="A163" s="14">
        <v>1255</v>
      </c>
      <c r="B163" s="12">
        <v>0.60968352718420338</v>
      </c>
      <c r="L163" s="14">
        <v>1304</v>
      </c>
      <c r="M163" s="12">
        <v>0.87193251533742333</v>
      </c>
      <c r="Z163" s="14">
        <v>1244</v>
      </c>
      <c r="AA163" s="12">
        <v>0.65200562983814214</v>
      </c>
    </row>
    <row r="164" spans="1:27" x14ac:dyDescent="0.35">
      <c r="A164" s="14">
        <v>1375</v>
      </c>
      <c r="B164" s="12">
        <v>1.1273996509598603</v>
      </c>
      <c r="L164" s="14">
        <v>1392</v>
      </c>
      <c r="M164" s="12">
        <v>0.84482758620689657</v>
      </c>
      <c r="Z164" s="14">
        <v>1255</v>
      </c>
      <c r="AA164" s="12">
        <v>0.39031647281579662</v>
      </c>
    </row>
    <row r="165" spans="1:27" x14ac:dyDescent="0.35">
      <c r="A165" s="14">
        <v>1688</v>
      </c>
      <c r="B165" s="12">
        <v>0.40864013041706287</v>
      </c>
      <c r="L165" s="14">
        <v>1402</v>
      </c>
      <c r="M165" s="12">
        <v>0.86661911554921545</v>
      </c>
      <c r="Z165" s="14">
        <v>1375</v>
      </c>
      <c r="AA165" s="12">
        <v>-0.12739965095986028</v>
      </c>
    </row>
    <row r="166" spans="1:27" x14ac:dyDescent="0.35">
      <c r="A166" s="14">
        <v>1690</v>
      </c>
      <c r="B166" s="12">
        <v>0.45378398236590745</v>
      </c>
      <c r="L166" s="14">
        <v>1437</v>
      </c>
      <c r="M166" s="12">
        <v>0.89213639526791932</v>
      </c>
      <c r="Z166" s="14">
        <v>1688</v>
      </c>
      <c r="AA166" s="12">
        <v>0.59135986958293718</v>
      </c>
    </row>
    <row r="167" spans="1:27" x14ac:dyDescent="0.35">
      <c r="A167" s="14">
        <v>1792</v>
      </c>
      <c r="B167" s="12">
        <v>1.1852367688022285</v>
      </c>
      <c r="L167" s="14">
        <v>1463</v>
      </c>
      <c r="M167" s="12">
        <v>0.77306903622693102</v>
      </c>
      <c r="Z167" s="14">
        <v>1690</v>
      </c>
      <c r="AA167" s="12">
        <v>0.54621601763409255</v>
      </c>
    </row>
    <row r="168" spans="1:27" x14ac:dyDescent="0.35">
      <c r="A168" s="14">
        <v>1838</v>
      </c>
      <c r="B168" s="12">
        <v>0.66637668551544149</v>
      </c>
      <c r="L168" s="14">
        <v>1468</v>
      </c>
      <c r="M168" s="12">
        <v>0.87738419618528607</v>
      </c>
      <c r="Z168" s="14">
        <v>1792</v>
      </c>
      <c r="AA168" s="12">
        <v>-0.1852367688022285</v>
      </c>
    </row>
    <row r="169" spans="1:27" x14ac:dyDescent="0.35">
      <c r="A169" s="14">
        <v>1897</v>
      </c>
      <c r="B169" s="12">
        <v>0.57518518518518513</v>
      </c>
      <c r="L169" s="14">
        <v>1471</v>
      </c>
      <c r="M169" s="12">
        <v>0.95241332426920466</v>
      </c>
      <c r="Z169" s="14">
        <v>1838</v>
      </c>
      <c r="AA169" s="12">
        <v>0.33362331448455851</v>
      </c>
    </row>
    <row r="170" spans="1:27" x14ac:dyDescent="0.35">
      <c r="A170" s="14">
        <v>2090</v>
      </c>
      <c r="B170" s="12">
        <v>0.77023783547894398</v>
      </c>
      <c r="L170" s="14">
        <v>1545</v>
      </c>
      <c r="M170" s="12">
        <v>0.91585760517799353</v>
      </c>
      <c r="Z170" s="14">
        <v>1897</v>
      </c>
      <c r="AA170" s="12">
        <v>0.42481481481481487</v>
      </c>
    </row>
    <row r="171" spans="1:27" x14ac:dyDescent="0.35">
      <c r="A171" s="14">
        <v>2265</v>
      </c>
      <c r="B171" s="12">
        <v>0.44722361180590298</v>
      </c>
      <c r="L171" s="14">
        <v>1590</v>
      </c>
      <c r="M171" s="12">
        <v>0.84905660377358494</v>
      </c>
      <c r="Z171" s="14">
        <v>2090</v>
      </c>
      <c r="AA171" s="12">
        <v>0.22976216452105602</v>
      </c>
    </row>
    <row r="172" spans="1:27" x14ac:dyDescent="0.35">
      <c r="A172" s="14">
        <v>2400</v>
      </c>
      <c r="B172" s="12">
        <v>1.096551724137931</v>
      </c>
      <c r="L172" s="14">
        <v>1629</v>
      </c>
      <c r="M172" s="12">
        <v>0.92879066912216079</v>
      </c>
      <c r="Z172" s="14">
        <v>2265</v>
      </c>
      <c r="AA172" s="12">
        <v>0.55277638819409702</v>
      </c>
    </row>
    <row r="173" spans="1:27" x14ac:dyDescent="0.35">
      <c r="A173" s="14">
        <v>2527</v>
      </c>
      <c r="B173" s="12">
        <v>0.58855656697009107</v>
      </c>
      <c r="L173" s="14">
        <v>1693</v>
      </c>
      <c r="M173" s="12">
        <v>0.89545186060248083</v>
      </c>
      <c r="Z173" s="14">
        <v>2400</v>
      </c>
      <c r="AA173" s="12">
        <v>-9.6551724137931005E-2</v>
      </c>
    </row>
    <row r="174" spans="1:27" x14ac:dyDescent="0.35">
      <c r="A174" s="14">
        <v>2549</v>
      </c>
      <c r="B174" s="12">
        <v>0.38492730689348237</v>
      </c>
      <c r="L174" s="14">
        <v>1719</v>
      </c>
      <c r="M174" s="12">
        <v>0.84235020360674806</v>
      </c>
      <c r="Z174" s="14">
        <v>2527</v>
      </c>
      <c r="AA174" s="12">
        <v>0.41144343302990893</v>
      </c>
    </row>
    <row r="175" spans="1:27" x14ac:dyDescent="0.35">
      <c r="A175" s="14">
        <v>3173</v>
      </c>
      <c r="B175" s="12">
        <v>0.41307984790874525</v>
      </c>
      <c r="L175" s="14">
        <v>1729</v>
      </c>
      <c r="M175" s="12">
        <v>0.88606130711393871</v>
      </c>
      <c r="Z175" s="14">
        <v>2549</v>
      </c>
      <c r="AA175" s="12">
        <v>0.61507269310651758</v>
      </c>
    </row>
    <row r="176" spans="1:27" x14ac:dyDescent="0.35">
      <c r="A176" s="14">
        <v>3543</v>
      </c>
      <c r="B176" s="12">
        <v>1.7489243229562137</v>
      </c>
      <c r="L176" s="14">
        <v>1764</v>
      </c>
      <c r="M176" s="12">
        <v>0.8214285714285714</v>
      </c>
      <c r="Z176" s="14">
        <v>3173</v>
      </c>
      <c r="AA176" s="12">
        <v>0.58692015209125481</v>
      </c>
    </row>
    <row r="177" spans="1:27" x14ac:dyDescent="0.35">
      <c r="A177" s="14">
        <v>3623</v>
      </c>
      <c r="B177" s="12">
        <v>1.0583545918367347</v>
      </c>
      <c r="L177" s="14">
        <v>1772</v>
      </c>
      <c r="M177" s="12">
        <v>0.80869074492099324</v>
      </c>
      <c r="Z177" s="14">
        <v>3543</v>
      </c>
      <c r="AA177" s="12">
        <v>-0.74892432295621369</v>
      </c>
    </row>
    <row r="178" spans="1:27" x14ac:dyDescent="0.35">
      <c r="A178" s="14">
        <v>3820</v>
      </c>
      <c r="B178" s="12">
        <v>0.72714760867071915</v>
      </c>
      <c r="L178" s="14">
        <v>1944</v>
      </c>
      <c r="M178" s="12">
        <v>0.92901234567901236</v>
      </c>
      <c r="Z178" s="14">
        <v>3623</v>
      </c>
      <c r="AA178" s="12">
        <v>-5.8354591836734748E-2</v>
      </c>
    </row>
    <row r="179" spans="1:27" x14ac:dyDescent="0.35">
      <c r="A179" s="14">
        <v>4419</v>
      </c>
      <c r="B179" s="12">
        <v>0.84850582669897312</v>
      </c>
      <c r="L179" s="14">
        <v>2242</v>
      </c>
      <c r="M179" s="12">
        <v>0.88938447814451382</v>
      </c>
      <c r="Z179" s="14">
        <v>3820</v>
      </c>
      <c r="AA179" s="12">
        <v>0.27285239132928085</v>
      </c>
    </row>
    <row r="180" spans="1:27" x14ac:dyDescent="0.35">
      <c r="A180" s="14">
        <v>5128</v>
      </c>
      <c r="B180" s="12">
        <v>1.6784610099622124</v>
      </c>
      <c r="L180" s="14">
        <v>2323</v>
      </c>
      <c r="M180" s="12">
        <v>0.95652173913043481</v>
      </c>
      <c r="Z180" s="14">
        <v>4419</v>
      </c>
      <c r="AA180" s="12">
        <v>0.15149417330102688</v>
      </c>
    </row>
    <row r="181" spans="1:27" x14ac:dyDescent="0.35">
      <c r="A181" s="14">
        <v>5416</v>
      </c>
      <c r="B181" s="12">
        <v>0.63986059119659222</v>
      </c>
      <c r="L181" s="14">
        <v>2483</v>
      </c>
      <c r="M181" s="12">
        <v>0.89407974224728148</v>
      </c>
      <c r="Z181" s="14">
        <v>5128</v>
      </c>
      <c r="AA181" s="12">
        <v>-0.67846100996221237</v>
      </c>
    </row>
    <row r="182" spans="1:27" x14ac:dyDescent="0.35">
      <c r="A182" s="14">
        <v>5770</v>
      </c>
      <c r="B182" s="12">
        <v>0.97678524141583545</v>
      </c>
      <c r="L182" s="14">
        <v>2581</v>
      </c>
      <c r="M182" s="12">
        <v>0.86865555986051923</v>
      </c>
      <c r="Z182" s="14">
        <v>5416</v>
      </c>
      <c r="AA182" s="12">
        <v>0.36013940880340778</v>
      </c>
    </row>
    <row r="183" spans="1:27" x14ac:dyDescent="0.35">
      <c r="A183" s="14">
        <v>7334</v>
      </c>
      <c r="B183" s="12">
        <v>1.4877514854581466</v>
      </c>
      <c r="L183" s="14">
        <v>2599</v>
      </c>
      <c r="M183" s="12">
        <v>0.95459792227779916</v>
      </c>
      <c r="Z183" s="14">
        <v>5770</v>
      </c>
      <c r="AA183" s="12">
        <v>2.3214758584164552E-2</v>
      </c>
    </row>
    <row r="184" spans="1:27" x14ac:dyDescent="0.35">
      <c r="A184" s="14">
        <v>8107</v>
      </c>
      <c r="B184" s="12">
        <v>1.1579505835986055</v>
      </c>
      <c r="L184" s="14">
        <v>2700</v>
      </c>
      <c r="M184" s="12">
        <v>0.93</v>
      </c>
      <c r="Z184" s="14">
        <v>7334</v>
      </c>
      <c r="AA184" s="12">
        <v>-0.48775148545814662</v>
      </c>
    </row>
    <row r="185" spans="1:27" x14ac:dyDescent="0.35">
      <c r="A185" s="14" t="s">
        <v>159</v>
      </c>
      <c r="B185" s="12">
        <v>0.57961753340253253</v>
      </c>
      <c r="L185" s="14">
        <v>2761</v>
      </c>
      <c r="M185" s="12">
        <v>0.94349873234335391</v>
      </c>
      <c r="Z185" s="14">
        <v>8107</v>
      </c>
      <c r="AA185" s="12">
        <v>-0.15795058359860548</v>
      </c>
    </row>
    <row r="186" spans="1:27" x14ac:dyDescent="0.35">
      <c r="L186" s="14">
        <v>3008</v>
      </c>
      <c r="M186" s="12">
        <v>0.953125</v>
      </c>
      <c r="Z186" s="14" t="s">
        <v>159</v>
      </c>
      <c r="AA186" s="12">
        <v>0.42038246659746731</v>
      </c>
    </row>
    <row r="187" spans="1:27" x14ac:dyDescent="0.35">
      <c r="L187" s="14">
        <v>3057</v>
      </c>
      <c r="M187" s="12">
        <v>0.88550866862937516</v>
      </c>
    </row>
    <row r="188" spans="1:27" x14ac:dyDescent="0.35">
      <c r="L188" s="14">
        <v>3156</v>
      </c>
      <c r="M188" s="12">
        <v>0.89321926489226866</v>
      </c>
    </row>
    <row r="189" spans="1:27" x14ac:dyDescent="0.35">
      <c r="L189" s="14">
        <v>4001</v>
      </c>
      <c r="M189" s="12">
        <v>0.91152211947013251</v>
      </c>
    </row>
    <row r="190" spans="1:27" x14ac:dyDescent="0.35">
      <c r="A190" s="7" t="s">
        <v>0</v>
      </c>
      <c r="B190" s="12" t="s">
        <v>203</v>
      </c>
      <c r="L190" s="14">
        <v>4927</v>
      </c>
      <c r="M190" s="12">
        <v>0.92104729044043032</v>
      </c>
    </row>
    <row r="191" spans="1:27" x14ac:dyDescent="0.35">
      <c r="L191" s="14">
        <v>5534</v>
      </c>
      <c r="M191" s="12">
        <v>0.89428984459703653</v>
      </c>
    </row>
    <row r="192" spans="1:27" x14ac:dyDescent="0.35">
      <c r="A192" s="7" t="s">
        <v>5</v>
      </c>
      <c r="B192" t="s">
        <v>175</v>
      </c>
      <c r="L192" s="14" t="s">
        <v>159</v>
      </c>
      <c r="M192" s="12">
        <v>0.85769394818595901</v>
      </c>
      <c r="Z192" s="7" t="s">
        <v>0</v>
      </c>
      <c r="AA192" t="s">
        <v>203</v>
      </c>
    </row>
    <row r="193" spans="1:27" x14ac:dyDescent="0.35">
      <c r="A193" s="14">
        <v>0</v>
      </c>
      <c r="B193" s="12">
        <v>0</v>
      </c>
    </row>
    <row r="194" spans="1:27" x14ac:dyDescent="0.35">
      <c r="A194" s="14">
        <v>4</v>
      </c>
      <c r="B194" s="12">
        <v>0.66666666666666663</v>
      </c>
      <c r="Z194" s="7" t="s">
        <v>5</v>
      </c>
      <c r="AA194" t="s">
        <v>188</v>
      </c>
    </row>
    <row r="195" spans="1:27" x14ac:dyDescent="0.35">
      <c r="A195" s="14">
        <v>36</v>
      </c>
      <c r="B195" s="12">
        <v>8.8235294117647065E-2</v>
      </c>
      <c r="Z195" s="14">
        <v>0</v>
      </c>
      <c r="AA195" s="12">
        <v>1</v>
      </c>
    </row>
    <row r="196" spans="1:27" x14ac:dyDescent="0.35">
      <c r="A196" s="14">
        <v>66</v>
      </c>
      <c r="B196" s="12">
        <v>0.44255319148936167</v>
      </c>
      <c r="Z196" s="14">
        <v>4</v>
      </c>
      <c r="AA196" s="12">
        <v>0.33333333333333337</v>
      </c>
    </row>
    <row r="197" spans="1:27" x14ac:dyDescent="0.35">
      <c r="A197" s="14">
        <v>70</v>
      </c>
      <c r="B197" s="12">
        <v>0.68292682926829273</v>
      </c>
      <c r="Z197" s="14">
        <v>36</v>
      </c>
      <c r="AA197" s="12">
        <v>0.91176470588235292</v>
      </c>
    </row>
    <row r="198" spans="1:27" x14ac:dyDescent="0.35">
      <c r="A198" s="14">
        <v>103</v>
      </c>
      <c r="B198" s="12">
        <v>0.61488673139158578</v>
      </c>
      <c r="L198" s="7" t="s">
        <v>0</v>
      </c>
      <c r="M198" t="s">
        <v>203</v>
      </c>
      <c r="Z198" s="14">
        <v>66</v>
      </c>
      <c r="AA198" s="12">
        <v>0.55744680851063833</v>
      </c>
    </row>
    <row r="199" spans="1:27" x14ac:dyDescent="0.35">
      <c r="A199" s="14">
        <v>111</v>
      </c>
      <c r="B199" s="12">
        <v>0.6</v>
      </c>
      <c r="Z199" s="14">
        <v>70</v>
      </c>
      <c r="AA199" s="12">
        <v>0.31707317073170727</v>
      </c>
    </row>
    <row r="200" spans="1:27" x14ac:dyDescent="0.35">
      <c r="A200" s="14">
        <v>115</v>
      </c>
      <c r="B200" s="12">
        <v>0.64139941690962099</v>
      </c>
      <c r="L200" s="7" t="s">
        <v>6</v>
      </c>
      <c r="M200" t="s">
        <v>185</v>
      </c>
      <c r="Z200" s="14">
        <v>103</v>
      </c>
      <c r="AA200" s="12">
        <v>0.38511326860841422</v>
      </c>
    </row>
    <row r="201" spans="1:27" x14ac:dyDescent="0.35">
      <c r="A201" s="14">
        <v>135</v>
      </c>
      <c r="B201" s="12">
        <v>0.77070063694267521</v>
      </c>
      <c r="L201" s="14">
        <v>0</v>
      </c>
      <c r="M201" s="12">
        <v>0</v>
      </c>
      <c r="Z201" s="14">
        <v>111</v>
      </c>
      <c r="AA201" s="12">
        <v>0.4</v>
      </c>
    </row>
    <row r="202" spans="1:27" x14ac:dyDescent="0.35">
      <c r="A202" s="14">
        <v>200</v>
      </c>
      <c r="B202" s="12">
        <v>0.91851851851851851</v>
      </c>
      <c r="L202" s="14">
        <v>3</v>
      </c>
      <c r="M202" s="12">
        <v>1</v>
      </c>
      <c r="Z202" s="14">
        <v>115</v>
      </c>
      <c r="AA202" s="12">
        <v>0.35860058309037901</v>
      </c>
    </row>
    <row r="203" spans="1:27" x14ac:dyDescent="0.35">
      <c r="A203" s="14">
        <v>205</v>
      </c>
      <c r="B203" s="12">
        <v>0.70216962524654836</v>
      </c>
      <c r="L203" s="14">
        <v>7</v>
      </c>
      <c r="M203" s="12">
        <v>1</v>
      </c>
      <c r="Z203" s="14">
        <v>135</v>
      </c>
      <c r="AA203" s="12">
        <v>0.22929936305732479</v>
      </c>
    </row>
    <row r="204" spans="1:27" x14ac:dyDescent="0.35">
      <c r="A204" s="14">
        <v>223</v>
      </c>
      <c r="B204" s="12">
        <v>7.7954948114401415E-2</v>
      </c>
      <c r="L204" s="14">
        <v>8</v>
      </c>
      <c r="M204" s="12">
        <v>1</v>
      </c>
      <c r="Z204" s="14">
        <v>200</v>
      </c>
      <c r="AA204" s="12">
        <v>8.1481481481481488E-2</v>
      </c>
    </row>
    <row r="205" spans="1:27" x14ac:dyDescent="0.35">
      <c r="A205" s="14">
        <v>229</v>
      </c>
      <c r="B205" s="12">
        <v>0.73442622950819669</v>
      </c>
      <c r="L205" s="14">
        <v>10</v>
      </c>
      <c r="M205" s="12">
        <v>1</v>
      </c>
      <c r="Z205" s="14">
        <v>205</v>
      </c>
      <c r="AA205" s="12">
        <v>0.29783037475345164</v>
      </c>
    </row>
    <row r="206" spans="1:27" x14ac:dyDescent="0.35">
      <c r="A206" s="14">
        <v>233</v>
      </c>
      <c r="B206" s="12">
        <v>0.72499999999999998</v>
      </c>
      <c r="L206" s="14">
        <v>25</v>
      </c>
      <c r="M206" s="12">
        <v>1</v>
      </c>
      <c r="Z206" s="14">
        <v>223</v>
      </c>
      <c r="AA206" s="12">
        <v>0.9220450518855986</v>
      </c>
    </row>
    <row r="207" spans="1:27" x14ac:dyDescent="0.35">
      <c r="A207" s="14">
        <v>237</v>
      </c>
      <c r="B207" s="12">
        <v>0.37764606265876377</v>
      </c>
      <c r="L207" s="14">
        <v>29</v>
      </c>
      <c r="M207" s="12">
        <v>1</v>
      </c>
      <c r="Z207" s="14">
        <v>229</v>
      </c>
      <c r="AA207" s="12">
        <v>0.26557377049180331</v>
      </c>
    </row>
    <row r="208" spans="1:27" x14ac:dyDescent="0.35">
      <c r="A208" s="14">
        <v>243</v>
      </c>
      <c r="B208" s="12">
        <v>0.24207119741100325</v>
      </c>
      <c r="L208" s="14">
        <v>55</v>
      </c>
      <c r="M208" s="12">
        <v>1</v>
      </c>
      <c r="Z208" s="14">
        <v>233</v>
      </c>
      <c r="AA208" s="12">
        <v>0.27500000000000002</v>
      </c>
    </row>
    <row r="209" spans="1:27" x14ac:dyDescent="0.35">
      <c r="A209" s="14">
        <v>261</v>
      </c>
      <c r="B209" s="12">
        <v>0.76923076923076927</v>
      </c>
      <c r="L209" s="14">
        <v>56</v>
      </c>
      <c r="M209" s="12">
        <v>1</v>
      </c>
      <c r="Z209" s="14">
        <v>237</v>
      </c>
      <c r="AA209" s="12">
        <v>0.62235393734123623</v>
      </c>
    </row>
    <row r="210" spans="1:27" x14ac:dyDescent="0.35">
      <c r="A210" s="14">
        <v>276</v>
      </c>
      <c r="B210" s="12">
        <v>0.55294117647058827</v>
      </c>
      <c r="L210" s="14">
        <v>62</v>
      </c>
      <c r="M210" s="12">
        <v>1</v>
      </c>
      <c r="Z210" s="14">
        <v>243</v>
      </c>
      <c r="AA210" s="12">
        <v>0.75792880258899675</v>
      </c>
    </row>
    <row r="211" spans="1:27" x14ac:dyDescent="0.35">
      <c r="A211" s="14">
        <v>287</v>
      </c>
      <c r="B211" s="12">
        <v>0.70147255689424359</v>
      </c>
      <c r="L211" s="14">
        <v>72</v>
      </c>
      <c r="M211" s="12">
        <v>1</v>
      </c>
      <c r="Z211" s="14">
        <v>261</v>
      </c>
      <c r="AA211" s="12">
        <v>0.23076923076923073</v>
      </c>
    </row>
    <row r="212" spans="1:27" x14ac:dyDescent="0.35">
      <c r="A212" s="14">
        <v>293</v>
      </c>
      <c r="B212" s="12">
        <v>0.51823899371069182</v>
      </c>
      <c r="L212" s="14">
        <v>74</v>
      </c>
      <c r="M212" s="12">
        <v>1</v>
      </c>
      <c r="Z212" s="14">
        <v>276</v>
      </c>
      <c r="AA212" s="12">
        <v>0.44705882352941173</v>
      </c>
    </row>
    <row r="213" spans="1:27" x14ac:dyDescent="0.35">
      <c r="A213" s="14">
        <v>323</v>
      </c>
      <c r="B213" s="12">
        <v>0.41863799283154124</v>
      </c>
      <c r="L213" s="14">
        <v>76</v>
      </c>
      <c r="M213" s="12">
        <v>1</v>
      </c>
      <c r="Z213" s="14">
        <v>287</v>
      </c>
      <c r="AA213" s="12">
        <v>0.29852744310575641</v>
      </c>
    </row>
    <row r="214" spans="1:27" x14ac:dyDescent="0.35">
      <c r="A214" s="14">
        <v>342</v>
      </c>
      <c r="B214" s="12">
        <v>0.68415300546448088</v>
      </c>
      <c r="L214" s="14">
        <v>82</v>
      </c>
      <c r="M214" s="12">
        <v>1</v>
      </c>
      <c r="Z214" s="14">
        <v>293</v>
      </c>
      <c r="AA214" s="12">
        <v>0.48176100628930818</v>
      </c>
    </row>
    <row r="215" spans="1:27" x14ac:dyDescent="0.35">
      <c r="A215" s="14">
        <v>345</v>
      </c>
      <c r="B215" s="12">
        <v>0.41215715344699777</v>
      </c>
      <c r="L215" s="14">
        <v>86</v>
      </c>
      <c r="M215" s="12">
        <v>1</v>
      </c>
      <c r="Z215" s="14">
        <v>323</v>
      </c>
      <c r="AA215" s="12">
        <v>0.58136200716845876</v>
      </c>
    </row>
    <row r="216" spans="1:27" x14ac:dyDescent="0.35">
      <c r="A216" s="14">
        <v>368</v>
      </c>
      <c r="B216" s="12">
        <v>0.72749099639855941</v>
      </c>
      <c r="L216" s="14">
        <v>96</v>
      </c>
      <c r="M216" s="12">
        <v>1</v>
      </c>
      <c r="Z216" s="14">
        <v>342</v>
      </c>
      <c r="AA216" s="12">
        <v>0.31584699453551912</v>
      </c>
    </row>
    <row r="217" spans="1:27" x14ac:dyDescent="0.35">
      <c r="A217" s="14">
        <v>379</v>
      </c>
      <c r="B217" s="12">
        <v>0.69119070667957405</v>
      </c>
      <c r="L217" s="14">
        <v>105</v>
      </c>
      <c r="M217" s="12">
        <v>1</v>
      </c>
      <c r="Z217" s="14">
        <v>345</v>
      </c>
      <c r="AA217" s="12">
        <v>0.58784284655300223</v>
      </c>
    </row>
    <row r="218" spans="1:27" x14ac:dyDescent="0.35">
      <c r="A218" s="14">
        <v>388</v>
      </c>
      <c r="B218" s="12">
        <v>0.39112177564487105</v>
      </c>
      <c r="L218" s="14">
        <v>109</v>
      </c>
      <c r="M218" s="12">
        <v>1</v>
      </c>
      <c r="Z218" s="14">
        <v>368</v>
      </c>
      <c r="AA218" s="12">
        <v>0.27250900360144059</v>
      </c>
    </row>
    <row r="219" spans="1:27" x14ac:dyDescent="0.35">
      <c r="A219" s="14">
        <v>399</v>
      </c>
      <c r="B219" s="12">
        <v>0.64461247637051045</v>
      </c>
      <c r="L219" s="14">
        <v>114</v>
      </c>
      <c r="M219" s="12">
        <v>1</v>
      </c>
      <c r="Z219" s="14">
        <v>379</v>
      </c>
      <c r="AA219" s="12">
        <v>0.30880929332042595</v>
      </c>
    </row>
    <row r="220" spans="1:27" x14ac:dyDescent="0.35">
      <c r="A220" s="14">
        <v>433</v>
      </c>
      <c r="B220" s="12">
        <v>0.11370663002404673</v>
      </c>
      <c r="L220" s="14">
        <v>130</v>
      </c>
      <c r="M220" s="12">
        <v>1</v>
      </c>
      <c r="Z220" s="14">
        <v>388</v>
      </c>
      <c r="AA220" s="12">
        <v>0.60887822435512895</v>
      </c>
    </row>
    <row r="221" spans="1:27" x14ac:dyDescent="0.35">
      <c r="A221" s="14">
        <v>438</v>
      </c>
      <c r="B221" s="12">
        <v>0.34991273996509598</v>
      </c>
      <c r="L221" s="14">
        <v>138</v>
      </c>
      <c r="M221" s="12">
        <v>1</v>
      </c>
      <c r="Z221" s="14">
        <v>399</v>
      </c>
      <c r="AA221" s="12">
        <v>0.35538752362948955</v>
      </c>
    </row>
    <row r="222" spans="1:27" x14ac:dyDescent="0.35">
      <c r="A222" s="14">
        <v>451</v>
      </c>
      <c r="B222" s="12">
        <v>0.91469681397738956</v>
      </c>
      <c r="L222" s="14">
        <v>141</v>
      </c>
      <c r="M222" s="12">
        <v>1</v>
      </c>
      <c r="Z222" s="14">
        <v>433</v>
      </c>
      <c r="AA222" s="12">
        <v>0.88629336997595332</v>
      </c>
    </row>
    <row r="223" spans="1:27" x14ac:dyDescent="0.35">
      <c r="A223" s="14">
        <v>482</v>
      </c>
      <c r="B223" s="12">
        <v>0.45411922304085733</v>
      </c>
      <c r="L223" s="14">
        <v>163</v>
      </c>
      <c r="M223" s="12">
        <v>1</v>
      </c>
      <c r="Z223" s="14">
        <v>438</v>
      </c>
      <c r="AA223" s="12">
        <v>0.65008726003490402</v>
      </c>
    </row>
    <row r="224" spans="1:27" x14ac:dyDescent="0.35">
      <c r="A224" s="14">
        <v>487</v>
      </c>
      <c r="B224" s="12">
        <v>0.75566750629722923</v>
      </c>
      <c r="L224" s="14">
        <v>168</v>
      </c>
      <c r="M224" s="12">
        <v>1</v>
      </c>
      <c r="Z224" s="14">
        <v>451</v>
      </c>
      <c r="AA224" s="12">
        <v>8.5303186022610444E-2</v>
      </c>
    </row>
    <row r="225" spans="1:27" x14ac:dyDescent="0.35">
      <c r="A225" s="14">
        <v>503</v>
      </c>
      <c r="B225" s="12">
        <v>0.47457627118644069</v>
      </c>
      <c r="L225" s="14">
        <v>171</v>
      </c>
      <c r="M225" s="12">
        <v>1</v>
      </c>
      <c r="Z225" s="14">
        <v>482</v>
      </c>
      <c r="AA225" s="12">
        <v>0.54588077695914272</v>
      </c>
    </row>
    <row r="226" spans="1:27" x14ac:dyDescent="0.35">
      <c r="A226" s="14">
        <v>544</v>
      </c>
      <c r="B226" s="12">
        <v>0.69872276483846729</v>
      </c>
      <c r="L226" s="14">
        <v>179</v>
      </c>
      <c r="M226" s="12">
        <v>1</v>
      </c>
      <c r="Z226" s="14">
        <v>487</v>
      </c>
      <c r="AA226" s="12">
        <v>0.24433249370277077</v>
      </c>
    </row>
    <row r="227" spans="1:27" x14ac:dyDescent="0.35">
      <c r="A227" s="14">
        <v>581</v>
      </c>
      <c r="B227" s="12">
        <v>0.75433070866141727</v>
      </c>
      <c r="L227" s="14">
        <v>190</v>
      </c>
      <c r="M227" s="12">
        <v>1</v>
      </c>
      <c r="Z227" s="14">
        <v>503</v>
      </c>
      <c r="AA227" s="12">
        <v>0.52542372881355925</v>
      </c>
    </row>
    <row r="228" spans="1:27" x14ac:dyDescent="0.35">
      <c r="A228" s="14">
        <v>585</v>
      </c>
      <c r="B228" s="12">
        <v>0.35793871866295263</v>
      </c>
      <c r="L228" s="14">
        <v>194</v>
      </c>
      <c r="M228" s="12">
        <v>1</v>
      </c>
      <c r="Z228" s="14">
        <v>544</v>
      </c>
      <c r="AA228" s="12">
        <v>0.30127723516153271</v>
      </c>
    </row>
    <row r="229" spans="1:27" x14ac:dyDescent="0.35">
      <c r="A229" s="14">
        <v>589</v>
      </c>
      <c r="B229" s="12">
        <v>0.74315514993481091</v>
      </c>
      <c r="L229" s="14">
        <v>198</v>
      </c>
      <c r="M229" s="12">
        <v>1</v>
      </c>
      <c r="Z229" s="14">
        <v>581</v>
      </c>
      <c r="AA229" s="12">
        <v>0.24566929133858273</v>
      </c>
    </row>
    <row r="230" spans="1:27" x14ac:dyDescent="0.35">
      <c r="A230" s="14">
        <v>614</v>
      </c>
      <c r="B230" s="12">
        <v>0.86096654275092932</v>
      </c>
      <c r="L230" s="14">
        <v>199</v>
      </c>
      <c r="M230" s="12">
        <v>1</v>
      </c>
      <c r="Z230" s="14">
        <v>585</v>
      </c>
      <c r="AA230" s="12">
        <v>0.64206128133704743</v>
      </c>
    </row>
    <row r="231" spans="1:27" x14ac:dyDescent="0.35">
      <c r="A231" s="14">
        <v>665</v>
      </c>
      <c r="B231" s="12">
        <v>0.50087873462214416</v>
      </c>
      <c r="L231" s="14">
        <v>203</v>
      </c>
      <c r="M231" s="12">
        <v>1</v>
      </c>
      <c r="Z231" s="14">
        <v>589</v>
      </c>
      <c r="AA231" s="12">
        <v>0.25684485006518909</v>
      </c>
    </row>
    <row r="232" spans="1:27" x14ac:dyDescent="0.35">
      <c r="A232" s="14">
        <v>696</v>
      </c>
      <c r="B232" s="12">
        <v>0.66744457409568259</v>
      </c>
      <c r="L232" s="14">
        <v>205</v>
      </c>
      <c r="M232" s="12">
        <v>1</v>
      </c>
      <c r="Z232" s="14">
        <v>614</v>
      </c>
      <c r="AA232" s="12">
        <v>0.13903345724907068</v>
      </c>
    </row>
    <row r="233" spans="1:27" x14ac:dyDescent="0.35">
      <c r="A233" s="14">
        <v>718</v>
      </c>
      <c r="B233" s="12">
        <v>0.75088131609870745</v>
      </c>
      <c r="L233" s="14">
        <v>217</v>
      </c>
      <c r="M233" s="12">
        <v>1</v>
      </c>
      <c r="Z233" s="14">
        <v>665</v>
      </c>
      <c r="AA233" s="12">
        <v>0.49912126537785584</v>
      </c>
    </row>
    <row r="234" spans="1:27" x14ac:dyDescent="0.35">
      <c r="A234" s="14">
        <v>719</v>
      </c>
      <c r="B234" s="12">
        <v>0.71680911680911685</v>
      </c>
      <c r="L234" s="14">
        <v>238</v>
      </c>
      <c r="M234" s="12">
        <v>1</v>
      </c>
      <c r="Z234" s="14">
        <v>696</v>
      </c>
      <c r="AA234" s="12">
        <v>0.33255542590431741</v>
      </c>
    </row>
    <row r="235" spans="1:27" x14ac:dyDescent="0.35">
      <c r="A235" s="14">
        <v>744</v>
      </c>
      <c r="B235" s="12">
        <v>0.48629213483146067</v>
      </c>
      <c r="L235" s="14">
        <v>250</v>
      </c>
      <c r="M235" s="12">
        <v>1</v>
      </c>
      <c r="Z235" s="14">
        <v>718</v>
      </c>
      <c r="AA235" s="12">
        <v>0.24911868390129255</v>
      </c>
    </row>
    <row r="236" spans="1:27" x14ac:dyDescent="0.35">
      <c r="A236" s="14">
        <v>770</v>
      </c>
      <c r="B236" s="12">
        <v>0.53421461897356148</v>
      </c>
      <c r="L236" s="14">
        <v>260</v>
      </c>
      <c r="M236" s="12">
        <v>1</v>
      </c>
      <c r="Z236" s="14">
        <v>719</v>
      </c>
      <c r="AA236" s="12">
        <v>0.28319088319088315</v>
      </c>
    </row>
    <row r="237" spans="1:27" x14ac:dyDescent="0.35">
      <c r="A237" s="14">
        <v>771</v>
      </c>
      <c r="B237" s="12">
        <v>0.6834763948497854</v>
      </c>
      <c r="L237" s="14">
        <v>269</v>
      </c>
      <c r="M237" s="12">
        <v>1</v>
      </c>
      <c r="Z237" s="14">
        <v>744</v>
      </c>
      <c r="AA237" s="12">
        <v>0.51370786516853939</v>
      </c>
    </row>
    <row r="238" spans="1:27" x14ac:dyDescent="0.35">
      <c r="A238" s="14">
        <v>773</v>
      </c>
      <c r="B238" s="12">
        <v>0.70302375809935203</v>
      </c>
      <c r="L238" s="14">
        <v>271</v>
      </c>
      <c r="M238" s="12">
        <v>1</v>
      </c>
      <c r="Z238" s="14">
        <v>770</v>
      </c>
      <c r="AA238" s="12">
        <v>0.46578538102643852</v>
      </c>
    </row>
    <row r="239" spans="1:27" x14ac:dyDescent="0.35">
      <c r="A239" s="14">
        <v>781</v>
      </c>
      <c r="B239" s="12">
        <v>0.54168429961912823</v>
      </c>
      <c r="L239" s="14">
        <v>284</v>
      </c>
      <c r="M239" s="12">
        <v>1</v>
      </c>
      <c r="Z239" s="14">
        <v>771</v>
      </c>
      <c r="AA239" s="12">
        <v>0.3165236051502146</v>
      </c>
    </row>
    <row r="240" spans="1:27" x14ac:dyDescent="0.35">
      <c r="A240" s="14">
        <v>782</v>
      </c>
      <c r="B240" s="12">
        <v>0.71810699588477367</v>
      </c>
      <c r="L240" s="14">
        <v>289</v>
      </c>
      <c r="M240" s="12">
        <v>1</v>
      </c>
      <c r="Z240" s="14">
        <v>773</v>
      </c>
      <c r="AA240" s="12">
        <v>0.29697624190064797</v>
      </c>
    </row>
    <row r="241" spans="1:27" x14ac:dyDescent="0.35">
      <c r="A241" s="14">
        <v>785</v>
      </c>
      <c r="B241" s="12">
        <v>0.1507349108725112</v>
      </c>
      <c r="L241" s="14">
        <v>300</v>
      </c>
      <c r="M241" s="12">
        <v>1</v>
      </c>
      <c r="Z241" s="14">
        <v>781</v>
      </c>
      <c r="AA241" s="12">
        <v>0.45831570038087177</v>
      </c>
    </row>
    <row r="242" spans="1:27" x14ac:dyDescent="0.35">
      <c r="A242" s="14">
        <v>825</v>
      </c>
      <c r="B242" s="12">
        <v>0.46986201888162671</v>
      </c>
      <c r="L242" s="14">
        <v>319</v>
      </c>
      <c r="M242" s="12">
        <v>1</v>
      </c>
      <c r="Z242" s="14">
        <v>782</v>
      </c>
      <c r="AA242" s="12">
        <v>0.28189300411522633</v>
      </c>
    </row>
    <row r="243" spans="1:27" x14ac:dyDescent="0.35">
      <c r="A243" s="14">
        <v>909</v>
      </c>
      <c r="B243" s="12">
        <v>0.71484888304862026</v>
      </c>
      <c r="L243" s="14">
        <v>321</v>
      </c>
      <c r="M243" s="12">
        <v>1</v>
      </c>
      <c r="Z243" s="14">
        <v>785</v>
      </c>
      <c r="AA243" s="12">
        <v>0.84926508912748877</v>
      </c>
    </row>
    <row r="244" spans="1:27" x14ac:dyDescent="0.35">
      <c r="A244" s="14">
        <v>957</v>
      </c>
      <c r="B244" s="12">
        <v>0.48590922574903589</v>
      </c>
      <c r="L244" s="14">
        <v>333</v>
      </c>
      <c r="M244" s="12">
        <v>1</v>
      </c>
      <c r="Z244" s="14">
        <v>825</v>
      </c>
      <c r="AA244" s="12">
        <v>0.53013798111837329</v>
      </c>
    </row>
    <row r="245" spans="1:27" x14ac:dyDescent="0.35">
      <c r="A245" s="14">
        <v>1007</v>
      </c>
      <c r="B245" s="12">
        <v>0.63878029710711492</v>
      </c>
      <c r="L245" s="14">
        <v>334</v>
      </c>
      <c r="M245" s="12">
        <v>1</v>
      </c>
      <c r="Z245" s="14">
        <v>909</v>
      </c>
      <c r="AA245" s="12">
        <v>0.28515111695137974</v>
      </c>
    </row>
    <row r="246" spans="1:27" x14ac:dyDescent="0.35">
      <c r="A246" s="14">
        <v>1009</v>
      </c>
      <c r="B246" s="12">
        <v>0.83818615751789971</v>
      </c>
      <c r="L246" s="14">
        <v>336</v>
      </c>
      <c r="M246" s="12">
        <v>1</v>
      </c>
      <c r="Z246" s="14">
        <v>957</v>
      </c>
      <c r="AA246" s="12">
        <v>0.51409077425096417</v>
      </c>
    </row>
    <row r="247" spans="1:27" x14ac:dyDescent="0.35">
      <c r="A247" s="14">
        <v>1029</v>
      </c>
      <c r="B247" s="12">
        <v>0.74588518667201931</v>
      </c>
      <c r="L247" s="14">
        <v>350</v>
      </c>
      <c r="M247" s="12">
        <v>1</v>
      </c>
      <c r="Z247" s="14">
        <v>1007</v>
      </c>
      <c r="AA247" s="12">
        <v>0.36121970289288508</v>
      </c>
    </row>
    <row r="248" spans="1:27" x14ac:dyDescent="0.35">
      <c r="A248" s="14">
        <v>1037</v>
      </c>
      <c r="B248" s="12">
        <v>0.73513084853291044</v>
      </c>
      <c r="L248" s="14">
        <v>372</v>
      </c>
      <c r="M248" s="12">
        <v>1</v>
      </c>
      <c r="Z248" s="14">
        <v>1009</v>
      </c>
      <c r="AA248" s="12">
        <v>0.16181384248210029</v>
      </c>
    </row>
    <row r="249" spans="1:27" x14ac:dyDescent="0.35">
      <c r="A249" s="14">
        <v>1077</v>
      </c>
      <c r="B249" s="12">
        <v>0.66158642189123662</v>
      </c>
      <c r="L249" s="14">
        <v>374</v>
      </c>
      <c r="M249" s="12">
        <v>1</v>
      </c>
      <c r="Z249" s="14">
        <v>1029</v>
      </c>
      <c r="AA249" s="12">
        <v>0.25411481332798069</v>
      </c>
    </row>
    <row r="250" spans="1:27" x14ac:dyDescent="0.35">
      <c r="A250" s="14">
        <v>1102</v>
      </c>
      <c r="B250" s="12">
        <v>0.60930395243091995</v>
      </c>
      <c r="L250" s="14">
        <v>375</v>
      </c>
      <c r="M250" s="12">
        <v>0.99199999999999999</v>
      </c>
      <c r="Z250" s="14">
        <v>1037</v>
      </c>
      <c r="AA250" s="12">
        <v>0.26486915146708956</v>
      </c>
    </row>
    <row r="251" spans="1:27" x14ac:dyDescent="0.35">
      <c r="A251" s="14">
        <v>1182</v>
      </c>
      <c r="B251" s="12">
        <v>0.5157635467980296</v>
      </c>
      <c r="L251" s="14">
        <v>384</v>
      </c>
      <c r="M251" s="12">
        <v>1</v>
      </c>
      <c r="Z251" s="14">
        <v>1077</v>
      </c>
      <c r="AA251" s="12">
        <v>0.33841357810876338</v>
      </c>
    </row>
    <row r="252" spans="1:27" x14ac:dyDescent="0.35">
      <c r="A252" s="14">
        <v>1187</v>
      </c>
      <c r="B252" s="12">
        <v>0.57958223006766696</v>
      </c>
      <c r="L252" s="14">
        <v>391</v>
      </c>
      <c r="M252" s="12">
        <v>1</v>
      </c>
      <c r="Z252" s="14">
        <v>1102</v>
      </c>
      <c r="AA252" s="12">
        <v>0.39069604756908005</v>
      </c>
    </row>
    <row r="253" spans="1:27" x14ac:dyDescent="0.35">
      <c r="A253" s="14">
        <v>1193</v>
      </c>
      <c r="B253" s="12">
        <v>0.59306569343065696</v>
      </c>
      <c r="L253" s="14">
        <v>397</v>
      </c>
      <c r="M253" s="12">
        <v>1</v>
      </c>
      <c r="Z253" s="14">
        <v>1182</v>
      </c>
      <c r="AA253" s="12">
        <v>0.4842364532019704</v>
      </c>
    </row>
    <row r="254" spans="1:27" x14ac:dyDescent="0.35">
      <c r="A254" s="14">
        <v>1272</v>
      </c>
      <c r="B254" s="12">
        <v>0.52314923619271447</v>
      </c>
      <c r="L254" s="14">
        <v>409</v>
      </c>
      <c r="M254" s="12">
        <v>1</v>
      </c>
      <c r="Z254" s="14">
        <v>1187</v>
      </c>
      <c r="AA254" s="12">
        <v>0.42041776993233304</v>
      </c>
    </row>
    <row r="255" spans="1:27" x14ac:dyDescent="0.35">
      <c r="A255" s="14">
        <v>1304</v>
      </c>
      <c r="B255" s="12">
        <v>0.69711833231146536</v>
      </c>
      <c r="L255" s="14">
        <v>430</v>
      </c>
      <c r="M255" s="12">
        <v>1</v>
      </c>
      <c r="Z255" s="14">
        <v>1193</v>
      </c>
      <c r="AA255" s="12">
        <v>0.40693430656934304</v>
      </c>
    </row>
    <row r="256" spans="1:27" x14ac:dyDescent="0.35">
      <c r="A256" s="14">
        <v>1392</v>
      </c>
      <c r="B256" s="12">
        <v>0.57931034482758625</v>
      </c>
      <c r="L256" s="14">
        <v>447</v>
      </c>
      <c r="M256" s="12">
        <v>0.98210290827740487</v>
      </c>
      <c r="Z256" s="14">
        <v>1272</v>
      </c>
      <c r="AA256" s="12">
        <v>0.47685076380728553</v>
      </c>
    </row>
    <row r="257" spans="1:27" x14ac:dyDescent="0.35">
      <c r="A257" s="14">
        <v>1402</v>
      </c>
      <c r="B257" s="12">
        <v>0.69211050982626032</v>
      </c>
      <c r="L257" s="14">
        <v>454</v>
      </c>
      <c r="M257" s="12">
        <v>1</v>
      </c>
      <c r="Z257" s="14">
        <v>1304</v>
      </c>
      <c r="AA257" s="12">
        <v>0.30288166768853464</v>
      </c>
    </row>
    <row r="258" spans="1:27" x14ac:dyDescent="0.35">
      <c r="A258" s="14">
        <v>1437</v>
      </c>
      <c r="B258" s="12">
        <v>0.64682139253279514</v>
      </c>
      <c r="L258" s="14">
        <v>470</v>
      </c>
      <c r="M258" s="12">
        <v>1</v>
      </c>
      <c r="Z258" s="14">
        <v>1392</v>
      </c>
      <c r="AA258" s="12">
        <v>0.42068965517241375</v>
      </c>
    </row>
    <row r="259" spans="1:27" x14ac:dyDescent="0.35">
      <c r="A259" s="14">
        <v>1463</v>
      </c>
      <c r="B259" s="12">
        <v>0.57034795763993951</v>
      </c>
      <c r="L259" s="14">
        <v>475</v>
      </c>
      <c r="M259" s="12">
        <v>1</v>
      </c>
      <c r="Z259" s="14">
        <v>1402</v>
      </c>
      <c r="AA259" s="12">
        <v>0.30788949017373968</v>
      </c>
    </row>
    <row r="260" spans="1:27" x14ac:dyDescent="0.35">
      <c r="A260" s="14">
        <v>1468</v>
      </c>
      <c r="B260" s="12">
        <v>0.71814887092277668</v>
      </c>
      <c r="L260" s="14">
        <v>484</v>
      </c>
      <c r="M260" s="12">
        <v>1</v>
      </c>
      <c r="Z260" s="14">
        <v>1437</v>
      </c>
      <c r="AA260" s="12">
        <v>0.35317860746720486</v>
      </c>
    </row>
    <row r="261" spans="1:27" x14ac:dyDescent="0.35">
      <c r="A261" s="14">
        <v>1471</v>
      </c>
      <c r="B261" s="12">
        <v>0.75791182039491478</v>
      </c>
      <c r="L261" s="14">
        <v>511</v>
      </c>
      <c r="M261" s="12">
        <v>1</v>
      </c>
      <c r="Z261" s="14">
        <v>1463</v>
      </c>
      <c r="AA261" s="12">
        <v>0.42965204236006049</v>
      </c>
    </row>
    <row r="262" spans="1:27" x14ac:dyDescent="0.35">
      <c r="A262" s="14">
        <v>1545</v>
      </c>
      <c r="B262" s="12">
        <v>0.8088025150042869</v>
      </c>
      <c r="L262" s="14">
        <v>532</v>
      </c>
      <c r="M262" s="12">
        <v>1</v>
      </c>
      <c r="Z262" s="14">
        <v>1468</v>
      </c>
      <c r="AA262" s="12">
        <v>0.28185112907722332</v>
      </c>
    </row>
    <row r="263" spans="1:27" x14ac:dyDescent="0.35">
      <c r="A263" s="14">
        <v>1590</v>
      </c>
      <c r="B263" s="12">
        <v>0.58913375518219502</v>
      </c>
      <c r="L263" s="14">
        <v>549</v>
      </c>
      <c r="M263" s="12">
        <v>1</v>
      </c>
      <c r="Z263" s="14">
        <v>1471</v>
      </c>
      <c r="AA263" s="12">
        <v>0.24208817960508522</v>
      </c>
    </row>
    <row r="264" spans="1:27" x14ac:dyDescent="0.35">
      <c r="A264" s="14">
        <v>1629</v>
      </c>
      <c r="B264" s="12">
        <v>0.48246173469387754</v>
      </c>
      <c r="L264" s="14">
        <v>554</v>
      </c>
      <c r="M264" s="12">
        <v>1</v>
      </c>
      <c r="Z264" s="14">
        <v>1545</v>
      </c>
      <c r="AA264" s="12">
        <v>0.1911974849957131</v>
      </c>
    </row>
    <row r="265" spans="1:27" x14ac:dyDescent="0.35">
      <c r="A265" s="14">
        <v>1693</v>
      </c>
      <c r="B265" s="12">
        <v>0.80982905982905984</v>
      </c>
      <c r="L265" s="14">
        <v>565</v>
      </c>
      <c r="M265" s="12">
        <v>0.99469026548672568</v>
      </c>
      <c r="Z265" s="14">
        <v>1590</v>
      </c>
      <c r="AA265" s="12">
        <v>0.41086624481780498</v>
      </c>
    </row>
    <row r="266" spans="1:27" x14ac:dyDescent="0.35">
      <c r="A266" s="14">
        <v>1719</v>
      </c>
      <c r="B266" s="12">
        <v>0.53629629629629627</v>
      </c>
      <c r="L266" s="14">
        <v>604</v>
      </c>
      <c r="M266" s="12">
        <v>0.99172185430463577</v>
      </c>
      <c r="Z266" s="14">
        <v>1629</v>
      </c>
      <c r="AA266" s="12">
        <v>0.51753826530612246</v>
      </c>
    </row>
    <row r="267" spans="1:27" x14ac:dyDescent="0.35">
      <c r="A267" s="14">
        <v>1729</v>
      </c>
      <c r="B267" s="12">
        <v>0.66637668551544149</v>
      </c>
      <c r="L267" s="14">
        <v>630</v>
      </c>
      <c r="M267" s="12">
        <v>1</v>
      </c>
      <c r="Z267" s="14">
        <v>1693</v>
      </c>
      <c r="AA267" s="12">
        <v>0.19017094017094016</v>
      </c>
    </row>
    <row r="268" spans="1:27" x14ac:dyDescent="0.35">
      <c r="A268" s="14">
        <v>1764</v>
      </c>
      <c r="B268" s="12">
        <v>0.68076109936575058</v>
      </c>
      <c r="L268" s="14">
        <v>641</v>
      </c>
      <c r="M268" s="12">
        <v>1</v>
      </c>
      <c r="Z268" s="14">
        <v>1719</v>
      </c>
      <c r="AA268" s="12">
        <v>0.46370370370370373</v>
      </c>
    </row>
    <row r="269" spans="1:27" x14ac:dyDescent="0.35">
      <c r="A269" s="14">
        <v>1772</v>
      </c>
      <c r="B269" s="12">
        <v>0.617273314667241</v>
      </c>
      <c r="L269" s="14">
        <v>664</v>
      </c>
      <c r="M269" s="12">
        <v>1</v>
      </c>
      <c r="Z269" s="14">
        <v>1729</v>
      </c>
      <c r="AA269" s="12">
        <v>0.33362331448455851</v>
      </c>
    </row>
    <row r="270" spans="1:27" x14ac:dyDescent="0.35">
      <c r="A270" s="14">
        <v>1944</v>
      </c>
      <c r="B270" s="12">
        <v>0.76639083386378104</v>
      </c>
      <c r="L270" s="14">
        <v>682</v>
      </c>
      <c r="M270" s="12">
        <v>1</v>
      </c>
      <c r="Z270" s="14">
        <v>1764</v>
      </c>
      <c r="AA270" s="12">
        <v>0.31923890063424942</v>
      </c>
    </row>
    <row r="271" spans="1:27" x14ac:dyDescent="0.35">
      <c r="A271" s="14">
        <v>2242</v>
      </c>
      <c r="B271" s="12">
        <v>0.70161857846586906</v>
      </c>
      <c r="L271" s="14">
        <v>694</v>
      </c>
      <c r="M271" s="12">
        <v>0.98703170028818443</v>
      </c>
      <c r="Z271" s="14">
        <v>1772</v>
      </c>
      <c r="AA271" s="12">
        <v>0.382726685332759</v>
      </c>
    </row>
    <row r="272" spans="1:27" x14ac:dyDescent="0.35">
      <c r="A272" s="14">
        <v>2323</v>
      </c>
      <c r="B272" s="12">
        <v>0.82083487255264131</v>
      </c>
      <c r="L272" s="14">
        <v>725</v>
      </c>
      <c r="M272" s="12">
        <v>1</v>
      </c>
      <c r="Z272" s="14">
        <v>1944</v>
      </c>
      <c r="AA272" s="12">
        <v>0.23360916613621896</v>
      </c>
    </row>
    <row r="273" spans="1:27" x14ac:dyDescent="0.35">
      <c r="A273" s="14">
        <v>2483</v>
      </c>
      <c r="B273" s="12">
        <v>0.51228798892350291</v>
      </c>
      <c r="L273" s="14">
        <v>745</v>
      </c>
      <c r="M273" s="12">
        <v>1</v>
      </c>
      <c r="Z273" s="14">
        <v>2242</v>
      </c>
      <c r="AA273" s="12">
        <v>0.29838142153413094</v>
      </c>
    </row>
    <row r="274" spans="1:27" x14ac:dyDescent="0.35">
      <c r="A274" s="14">
        <v>2581</v>
      </c>
      <c r="B274" s="12">
        <v>0.51427916045418054</v>
      </c>
      <c r="L274" s="14">
        <v>754</v>
      </c>
      <c r="M274" s="12">
        <v>1</v>
      </c>
      <c r="Z274" s="14">
        <v>2323</v>
      </c>
      <c r="AA274" s="12">
        <v>0.17916512744735869</v>
      </c>
    </row>
    <row r="275" spans="1:27" x14ac:dyDescent="0.35">
      <c r="A275" s="14">
        <v>2599</v>
      </c>
      <c r="B275" s="12">
        <v>0.43799099655750728</v>
      </c>
      <c r="L275" s="14">
        <v>850</v>
      </c>
      <c r="M275" s="12">
        <v>1</v>
      </c>
      <c r="Z275" s="14">
        <v>2483</v>
      </c>
      <c r="AA275" s="12">
        <v>0.48771201107649709</v>
      </c>
    </row>
    <row r="276" spans="1:27" x14ac:dyDescent="0.35">
      <c r="A276" s="14">
        <v>2700</v>
      </c>
      <c r="B276" s="12">
        <v>0.73798677443056571</v>
      </c>
      <c r="L276" s="14">
        <v>878</v>
      </c>
      <c r="M276" s="12">
        <v>1</v>
      </c>
      <c r="Z276" s="14">
        <v>2581</v>
      </c>
      <c r="AA276" s="12">
        <v>0.48572083954581946</v>
      </c>
    </row>
    <row r="277" spans="1:27" x14ac:dyDescent="0.35">
      <c r="A277" s="14">
        <v>2761</v>
      </c>
      <c r="B277" s="12">
        <v>0.67750325097529263</v>
      </c>
      <c r="L277" s="14">
        <v>923</v>
      </c>
      <c r="M277" s="12">
        <v>1</v>
      </c>
      <c r="Z277" s="14">
        <v>2599</v>
      </c>
      <c r="AA277" s="12">
        <v>0.56200900344249272</v>
      </c>
    </row>
    <row r="278" spans="1:27" x14ac:dyDescent="0.35">
      <c r="A278" s="14">
        <v>3008</v>
      </c>
      <c r="B278" s="12">
        <v>0.43459148097620132</v>
      </c>
      <c r="L278" s="14">
        <v>1095</v>
      </c>
      <c r="M278" s="12">
        <v>1</v>
      </c>
      <c r="Z278" s="14">
        <v>2700</v>
      </c>
      <c r="AA278" s="12">
        <v>0.26201322556943429</v>
      </c>
    </row>
    <row r="279" spans="1:27" x14ac:dyDescent="0.35">
      <c r="A279" s="14">
        <v>3057</v>
      </c>
      <c r="B279" s="12">
        <v>0.73549789430783863</v>
      </c>
      <c r="L279" s="14">
        <v>1159</v>
      </c>
      <c r="M279" s="12">
        <v>1</v>
      </c>
      <c r="Z279" s="14">
        <v>2761</v>
      </c>
      <c r="AA279" s="12">
        <v>0.32249674902470737</v>
      </c>
    </row>
    <row r="280" spans="1:27" x14ac:dyDescent="0.35">
      <c r="A280" s="14">
        <v>3156</v>
      </c>
      <c r="B280" s="12">
        <v>0.70510255127563781</v>
      </c>
      <c r="L280" s="14">
        <v>1176</v>
      </c>
      <c r="M280" s="12">
        <v>1</v>
      </c>
      <c r="Z280" s="14">
        <v>3008</v>
      </c>
      <c r="AA280" s="12">
        <v>0.56540851902379874</v>
      </c>
    </row>
    <row r="281" spans="1:27" x14ac:dyDescent="0.35">
      <c r="A281" s="14">
        <v>4001</v>
      </c>
      <c r="B281" s="12">
        <v>0.72139254277519538</v>
      </c>
      <c r="L281" s="14">
        <v>1181</v>
      </c>
      <c r="M281" s="12">
        <v>1</v>
      </c>
      <c r="Z281" s="14">
        <v>3057</v>
      </c>
      <c r="AA281" s="12">
        <v>0.26450210569216137</v>
      </c>
    </row>
    <row r="282" spans="1:27" x14ac:dyDescent="0.35">
      <c r="A282" s="14">
        <v>4927</v>
      </c>
      <c r="B282" s="12">
        <v>0.58577513876339227</v>
      </c>
      <c r="L282" s="14">
        <v>1191</v>
      </c>
      <c r="M282" s="12">
        <v>1</v>
      </c>
      <c r="Z282" s="14">
        <v>3156</v>
      </c>
      <c r="AA282" s="12">
        <v>0.29489744872436219</v>
      </c>
    </row>
    <row r="283" spans="1:27" x14ac:dyDescent="0.35">
      <c r="A283" s="14">
        <v>5534</v>
      </c>
      <c r="B283" s="12">
        <v>0.75269961977186317</v>
      </c>
      <c r="L283" s="14">
        <v>1239</v>
      </c>
      <c r="M283" s="12">
        <v>1</v>
      </c>
      <c r="Z283" s="14">
        <v>4001</v>
      </c>
      <c r="AA283" s="12">
        <v>0.27860745722480462</v>
      </c>
    </row>
    <row r="284" spans="1:27" x14ac:dyDescent="0.35">
      <c r="A284" s="14" t="s">
        <v>159</v>
      </c>
      <c r="B284" s="12">
        <v>0.6021478235923714</v>
      </c>
      <c r="L284" s="14">
        <v>1356</v>
      </c>
      <c r="M284" s="12">
        <v>1</v>
      </c>
      <c r="Z284" s="14">
        <v>4927</v>
      </c>
      <c r="AA284" s="12">
        <v>0.41422486123660773</v>
      </c>
    </row>
    <row r="285" spans="1:27" x14ac:dyDescent="0.35">
      <c r="L285" s="14">
        <v>1441</v>
      </c>
      <c r="M285" s="12">
        <v>1</v>
      </c>
      <c r="Z285" s="14">
        <v>5534</v>
      </c>
      <c r="AA285" s="12">
        <v>0.24730038022813683</v>
      </c>
    </row>
    <row r="286" spans="1:27" x14ac:dyDescent="0.35">
      <c r="L286" s="14">
        <v>1444</v>
      </c>
      <c r="M286" s="12">
        <v>0.98407202216066481</v>
      </c>
      <c r="Z286" s="14" t="s">
        <v>159</v>
      </c>
      <c r="AA286" s="12">
        <v>0.39785217640762865</v>
      </c>
    </row>
    <row r="287" spans="1:27" x14ac:dyDescent="0.35">
      <c r="L287" s="14">
        <v>1911</v>
      </c>
      <c r="M287" s="12">
        <v>1</v>
      </c>
    </row>
    <row r="288" spans="1:27" x14ac:dyDescent="0.35">
      <c r="L288" s="14">
        <v>2564</v>
      </c>
      <c r="M288" s="12">
        <v>0.98946957878315134</v>
      </c>
    </row>
    <row r="289" spans="1:27" x14ac:dyDescent="0.35">
      <c r="A289" s="7" t="s">
        <v>0</v>
      </c>
      <c r="B289" s="12" t="s">
        <v>203</v>
      </c>
      <c r="L289" s="14" t="s">
        <v>159</v>
      </c>
      <c r="M289" s="12">
        <v>0.98814382779451382</v>
      </c>
    </row>
    <row r="291" spans="1:27" x14ac:dyDescent="0.35">
      <c r="A291" s="7" t="s">
        <v>6</v>
      </c>
      <c r="B291" t="s">
        <v>176</v>
      </c>
    </row>
    <row r="292" spans="1:27" x14ac:dyDescent="0.35">
      <c r="A292" s="14">
        <v>0</v>
      </c>
      <c r="B292" s="12">
        <v>0</v>
      </c>
      <c r="Z292" s="7" t="s">
        <v>0</v>
      </c>
      <c r="AA292" t="s">
        <v>203</v>
      </c>
    </row>
    <row r="293" spans="1:27" x14ac:dyDescent="0.35">
      <c r="A293" s="14">
        <v>3</v>
      </c>
      <c r="B293" s="12">
        <v>2</v>
      </c>
    </row>
    <row r="294" spans="1:27" x14ac:dyDescent="0.35">
      <c r="A294" s="14">
        <v>7</v>
      </c>
      <c r="B294" s="12">
        <v>6.8292682926829273E-2</v>
      </c>
      <c r="Z294" s="7" t="s">
        <v>6</v>
      </c>
      <c r="AA294" t="s">
        <v>189</v>
      </c>
    </row>
    <row r="295" spans="1:27" x14ac:dyDescent="0.35">
      <c r="A295" s="14">
        <v>8</v>
      </c>
      <c r="B295" s="12">
        <v>5.9259259259259262E-2</v>
      </c>
      <c r="Z295" s="14">
        <v>0</v>
      </c>
      <c r="AA295" s="12">
        <v>1</v>
      </c>
    </row>
    <row r="296" spans="1:27" x14ac:dyDescent="0.35">
      <c r="A296" s="14">
        <v>10</v>
      </c>
      <c r="B296" s="12">
        <v>7.3529411764705885E-2</v>
      </c>
      <c r="Z296" s="14">
        <v>3</v>
      </c>
      <c r="AA296" s="12">
        <v>-1</v>
      </c>
    </row>
    <row r="297" spans="1:27" x14ac:dyDescent="0.35">
      <c r="A297" s="14">
        <v>25</v>
      </c>
      <c r="B297" s="12">
        <v>0.21276595744680851</v>
      </c>
      <c r="Z297" s="14">
        <v>7</v>
      </c>
      <c r="AA297" s="12">
        <v>0.93170731707317067</v>
      </c>
    </row>
    <row r="298" spans="1:27" x14ac:dyDescent="0.35">
      <c r="A298" s="14">
        <v>29</v>
      </c>
      <c r="B298" s="12">
        <v>0.18770226537216828</v>
      </c>
      <c r="Z298" s="14">
        <v>8</v>
      </c>
      <c r="AA298" s="12">
        <v>0.94074074074074077</v>
      </c>
    </row>
    <row r="299" spans="1:27" x14ac:dyDescent="0.35">
      <c r="A299" s="14">
        <v>55</v>
      </c>
      <c r="B299" s="12">
        <v>0.14725568942436412</v>
      </c>
      <c r="Z299" s="14">
        <v>10</v>
      </c>
      <c r="AA299" s="12">
        <v>0.92647058823529416</v>
      </c>
    </row>
    <row r="300" spans="1:27" x14ac:dyDescent="0.35">
      <c r="A300" s="14">
        <v>56</v>
      </c>
      <c r="B300" s="12">
        <v>0.18360655737704917</v>
      </c>
      <c r="Z300" s="14">
        <v>25</v>
      </c>
      <c r="AA300" s="12">
        <v>0.78723404255319152</v>
      </c>
    </row>
    <row r="301" spans="1:27" x14ac:dyDescent="0.35">
      <c r="A301" s="14">
        <v>62</v>
      </c>
      <c r="B301" s="12">
        <v>0.25676534951897273</v>
      </c>
      <c r="Z301" s="14">
        <v>29</v>
      </c>
      <c r="AA301" s="12">
        <v>0.81229773462783172</v>
      </c>
    </row>
    <row r="302" spans="1:27" x14ac:dyDescent="0.35">
      <c r="A302" s="14">
        <v>72</v>
      </c>
      <c r="B302" s="12">
        <v>0.41982507288629739</v>
      </c>
      <c r="Z302" s="14">
        <v>55</v>
      </c>
      <c r="AA302" s="12">
        <v>0.85274431057563582</v>
      </c>
    </row>
    <row r="303" spans="1:27" x14ac:dyDescent="0.35">
      <c r="A303" s="14">
        <v>74</v>
      </c>
      <c r="B303" s="12">
        <v>0.1861635220125786</v>
      </c>
      <c r="Z303" s="14">
        <v>56</v>
      </c>
      <c r="AA303" s="12">
        <v>0.81639344262295088</v>
      </c>
    </row>
    <row r="304" spans="1:27" x14ac:dyDescent="0.35">
      <c r="A304" s="14">
        <v>76</v>
      </c>
      <c r="B304" s="12">
        <v>0.48407643312101911</v>
      </c>
      <c r="Z304" s="14">
        <v>62</v>
      </c>
      <c r="AA304" s="12">
        <v>0.74323465048102721</v>
      </c>
    </row>
    <row r="305" spans="1:27" x14ac:dyDescent="0.35">
      <c r="A305" s="14">
        <v>82</v>
      </c>
      <c r="B305" s="12">
        <v>0.3234714003944773</v>
      </c>
      <c r="Z305" s="14">
        <v>72</v>
      </c>
      <c r="AA305" s="12">
        <v>0.58017492711370267</v>
      </c>
    </row>
    <row r="306" spans="1:27" x14ac:dyDescent="0.35">
      <c r="A306" s="14">
        <v>86</v>
      </c>
      <c r="B306" s="12">
        <v>0.14563928873835733</v>
      </c>
      <c r="Z306" s="14">
        <v>74</v>
      </c>
      <c r="AA306" s="12">
        <v>0.81383647798742142</v>
      </c>
    </row>
    <row r="307" spans="1:27" x14ac:dyDescent="0.35">
      <c r="A307" s="14">
        <v>96</v>
      </c>
      <c r="B307" s="12">
        <v>0.10497539639147074</v>
      </c>
      <c r="Z307" s="14">
        <v>76</v>
      </c>
      <c r="AA307" s="12">
        <v>0.51592356687898089</v>
      </c>
    </row>
    <row r="308" spans="1:27" x14ac:dyDescent="0.35">
      <c r="A308" s="14">
        <v>105</v>
      </c>
      <c r="B308" s="12">
        <v>0.13592233009708737</v>
      </c>
      <c r="Z308" s="14">
        <v>82</v>
      </c>
      <c r="AA308" s="12">
        <v>0.6765285996055227</v>
      </c>
    </row>
    <row r="309" spans="1:27" x14ac:dyDescent="0.35">
      <c r="A309" s="14">
        <v>109</v>
      </c>
      <c r="B309" s="12">
        <v>0.23825136612021858</v>
      </c>
      <c r="Z309" s="14">
        <v>86</v>
      </c>
      <c r="AA309" s="12">
        <v>0.8543607112616427</v>
      </c>
    </row>
    <row r="310" spans="1:27" x14ac:dyDescent="0.35">
      <c r="A310" s="14">
        <v>114</v>
      </c>
      <c r="B310" s="12">
        <v>5.7706909643128322E-2</v>
      </c>
      <c r="Z310" s="14">
        <v>96</v>
      </c>
      <c r="AA310" s="12">
        <v>0.8950246036085292</v>
      </c>
    </row>
    <row r="311" spans="1:27" x14ac:dyDescent="0.35">
      <c r="A311" s="14">
        <v>130</v>
      </c>
      <c r="B311" s="12">
        <v>0.31212484993997597</v>
      </c>
      <c r="Z311" s="14">
        <v>105</v>
      </c>
      <c r="AA311" s="12">
        <v>0.86407766990291268</v>
      </c>
    </row>
    <row r="312" spans="1:27" x14ac:dyDescent="0.35">
      <c r="A312" s="14">
        <v>138</v>
      </c>
      <c r="B312" s="12">
        <v>0.21732283464566929</v>
      </c>
      <c r="Z312" s="14">
        <v>109</v>
      </c>
      <c r="AA312" s="12">
        <v>0.76174863387978142</v>
      </c>
    </row>
    <row r="313" spans="1:27" x14ac:dyDescent="0.35">
      <c r="A313" s="14">
        <v>141</v>
      </c>
      <c r="B313" s="12">
        <v>0.16916616676664667</v>
      </c>
      <c r="Z313" s="14">
        <v>114</v>
      </c>
      <c r="AA313" s="12">
        <v>0.9422930903568717</v>
      </c>
    </row>
    <row r="314" spans="1:27" x14ac:dyDescent="0.35">
      <c r="A314" s="14">
        <v>163</v>
      </c>
      <c r="B314" s="12">
        <v>0.24166048925129727</v>
      </c>
      <c r="Z314" s="14">
        <v>130</v>
      </c>
      <c r="AA314" s="12">
        <v>0.68787515006002398</v>
      </c>
    </row>
    <row r="315" spans="1:27" x14ac:dyDescent="0.35">
      <c r="A315" s="14">
        <v>168</v>
      </c>
      <c r="B315" s="12">
        <v>0.24086021505376345</v>
      </c>
      <c r="Z315" s="14">
        <v>138</v>
      </c>
      <c r="AA315" s="12">
        <v>0.78267716535433074</v>
      </c>
    </row>
    <row r="316" spans="1:27" x14ac:dyDescent="0.35">
      <c r="A316" s="14">
        <v>171</v>
      </c>
      <c r="B316" s="12">
        <v>0.39768975624807162</v>
      </c>
      <c r="Z316" s="14">
        <v>141</v>
      </c>
      <c r="AA316" s="12">
        <v>0.83083383323335336</v>
      </c>
    </row>
    <row r="317" spans="1:27" x14ac:dyDescent="0.35">
      <c r="A317" s="14">
        <v>179</v>
      </c>
      <c r="B317" s="12">
        <v>0.36793422404933196</v>
      </c>
      <c r="Z317" s="14">
        <v>163</v>
      </c>
      <c r="AA317" s="12">
        <v>0.75833951074870276</v>
      </c>
    </row>
    <row r="318" spans="1:27" x14ac:dyDescent="0.35">
      <c r="A318" s="14">
        <v>190</v>
      </c>
      <c r="B318" s="12">
        <v>0.31905961376994124</v>
      </c>
      <c r="Z318" s="14">
        <v>168</v>
      </c>
      <c r="AA318" s="12">
        <v>0.75913978494623657</v>
      </c>
    </row>
    <row r="319" spans="1:27" x14ac:dyDescent="0.35">
      <c r="A319" s="14">
        <v>194</v>
      </c>
      <c r="B319" s="12">
        <v>0.3667296786389414</v>
      </c>
      <c r="Z319" s="14">
        <v>171</v>
      </c>
      <c r="AA319" s="12">
        <v>0.60231024375192832</v>
      </c>
    </row>
    <row r="320" spans="1:27" x14ac:dyDescent="0.35">
      <c r="A320" s="14">
        <v>198</v>
      </c>
      <c r="B320" s="12">
        <v>0.30719398699396011</v>
      </c>
      <c r="Z320" s="14">
        <v>179</v>
      </c>
      <c r="AA320" s="12">
        <v>0.63206577595066804</v>
      </c>
    </row>
    <row r="321" spans="1:27" x14ac:dyDescent="0.35">
      <c r="A321" s="14">
        <v>199</v>
      </c>
      <c r="B321" s="12">
        <v>0.295910780669145</v>
      </c>
      <c r="Z321" s="14">
        <v>190</v>
      </c>
      <c r="AA321" s="12">
        <v>0.6809403862300587</v>
      </c>
    </row>
    <row r="322" spans="1:27" x14ac:dyDescent="0.35">
      <c r="A322" s="14">
        <v>203</v>
      </c>
      <c r="B322" s="12">
        <v>0.30503380916604056</v>
      </c>
      <c r="Z322" s="14">
        <v>194</v>
      </c>
      <c r="AA322" s="12">
        <v>0.63327032136105865</v>
      </c>
    </row>
    <row r="323" spans="1:27" x14ac:dyDescent="0.35">
      <c r="A323" s="14">
        <v>205</v>
      </c>
      <c r="B323" s="12">
        <v>7.0422535211267609E-2</v>
      </c>
      <c r="Z323" s="14">
        <v>198</v>
      </c>
      <c r="AA323" s="12">
        <v>0.69280601300603983</v>
      </c>
    </row>
    <row r="324" spans="1:27" x14ac:dyDescent="0.35">
      <c r="A324" s="14">
        <v>217</v>
      </c>
      <c r="B324" s="12">
        <v>0.18935427574171029</v>
      </c>
      <c r="Z324" s="14">
        <v>199</v>
      </c>
      <c r="AA324" s="12">
        <v>0.704089219330855</v>
      </c>
    </row>
    <row r="325" spans="1:27" x14ac:dyDescent="0.35">
      <c r="A325" s="14">
        <v>238</v>
      </c>
      <c r="B325" s="12">
        <v>0.56000000000000005</v>
      </c>
      <c r="Z325" s="14">
        <v>203</v>
      </c>
      <c r="AA325" s="12">
        <v>0.6949661908339595</v>
      </c>
    </row>
    <row r="326" spans="1:27" x14ac:dyDescent="0.35">
      <c r="A326" s="14">
        <v>250</v>
      </c>
      <c r="B326" s="12">
        <v>0.25720164609053497</v>
      </c>
      <c r="Z326" s="14">
        <v>205</v>
      </c>
      <c r="AA326" s="12">
        <v>0.92957746478873238</v>
      </c>
    </row>
    <row r="327" spans="1:27" x14ac:dyDescent="0.35">
      <c r="A327" s="14">
        <v>260</v>
      </c>
      <c r="B327" s="12">
        <v>0.20875150541951024</v>
      </c>
      <c r="Z327" s="14">
        <v>217</v>
      </c>
      <c r="AA327" s="12">
        <v>0.81064572425828973</v>
      </c>
    </row>
    <row r="328" spans="1:27" x14ac:dyDescent="0.35">
      <c r="A328" s="14">
        <v>269</v>
      </c>
      <c r="B328" s="12">
        <v>0.21032056293979673</v>
      </c>
      <c r="Z328" s="14">
        <v>238</v>
      </c>
      <c r="AA328" s="12">
        <v>0.43999999999999995</v>
      </c>
    </row>
    <row r="329" spans="1:27" x14ac:dyDescent="0.35">
      <c r="A329" s="14">
        <v>271</v>
      </c>
      <c r="B329" s="12">
        <v>0.18871866295264625</v>
      </c>
      <c r="Z329" s="14">
        <v>250</v>
      </c>
      <c r="AA329" s="12">
        <v>0.74279835390946503</v>
      </c>
    </row>
    <row r="330" spans="1:27" x14ac:dyDescent="0.35">
      <c r="A330" s="14">
        <v>284</v>
      </c>
      <c r="B330" s="12">
        <v>0.33372502937720327</v>
      </c>
      <c r="Z330" s="14">
        <v>260</v>
      </c>
      <c r="AA330" s="12">
        <v>0.79124849458048974</v>
      </c>
    </row>
    <row r="331" spans="1:27" x14ac:dyDescent="0.35">
      <c r="A331" s="14">
        <v>289</v>
      </c>
      <c r="B331" s="12">
        <v>0.37679269882659711</v>
      </c>
      <c r="Z331" s="14">
        <v>269</v>
      </c>
      <c r="AA331" s="12">
        <v>0.78967943706020327</v>
      </c>
    </row>
    <row r="332" spans="1:27" x14ac:dyDescent="0.35">
      <c r="A332" s="14">
        <v>300</v>
      </c>
      <c r="B332" s="12">
        <v>0.28639618138424822</v>
      </c>
      <c r="Z332" s="14">
        <v>271</v>
      </c>
      <c r="AA332" s="12">
        <v>0.81128133704735372</v>
      </c>
    </row>
    <row r="333" spans="1:27" x14ac:dyDescent="0.35">
      <c r="A333" s="14">
        <v>319</v>
      </c>
      <c r="B333" s="12">
        <v>0.18770226537216828</v>
      </c>
      <c r="Z333" s="14">
        <v>284</v>
      </c>
      <c r="AA333" s="12">
        <v>0.66627497062279673</v>
      </c>
    </row>
    <row r="334" spans="1:27" x14ac:dyDescent="0.35">
      <c r="A334" s="14">
        <v>321</v>
      </c>
      <c r="B334" s="12">
        <v>0.43000669792364365</v>
      </c>
      <c r="Z334" s="14">
        <v>289</v>
      </c>
      <c r="AA334" s="12">
        <v>0.62320730117340295</v>
      </c>
    </row>
    <row r="335" spans="1:27" x14ac:dyDescent="0.35">
      <c r="A335" s="14">
        <v>333</v>
      </c>
      <c r="B335" s="12">
        <v>0.29172141918528255</v>
      </c>
      <c r="Z335" s="14">
        <v>300</v>
      </c>
      <c r="AA335" s="12">
        <v>0.71360381861575184</v>
      </c>
    </row>
    <row r="336" spans="1:27" x14ac:dyDescent="0.35">
      <c r="A336" s="14">
        <v>334</v>
      </c>
      <c r="B336" s="12">
        <v>0.28269149386373255</v>
      </c>
      <c r="Z336" s="14">
        <v>319</v>
      </c>
      <c r="AA336" s="12">
        <v>0.81229773462783172</v>
      </c>
    </row>
    <row r="337" spans="1:27" x14ac:dyDescent="0.35">
      <c r="A337" s="14">
        <v>336</v>
      </c>
      <c r="B337" s="12">
        <v>0.24400871459694989</v>
      </c>
      <c r="Z337" s="14">
        <v>321</v>
      </c>
      <c r="AA337" s="12">
        <v>0.56999330207635635</v>
      </c>
    </row>
    <row r="338" spans="1:27" x14ac:dyDescent="0.35">
      <c r="A338" s="14">
        <v>350</v>
      </c>
      <c r="B338" s="12">
        <v>0.20765351527736578</v>
      </c>
      <c r="Z338" s="14">
        <v>333</v>
      </c>
      <c r="AA338" s="12">
        <v>0.7082785808147174</v>
      </c>
    </row>
    <row r="339" spans="1:27" x14ac:dyDescent="0.35">
      <c r="A339" s="14">
        <v>372</v>
      </c>
      <c r="B339" s="12">
        <v>0.28926905132192848</v>
      </c>
      <c r="Z339" s="14">
        <v>334</v>
      </c>
      <c r="AA339" s="12">
        <v>0.7173085061362674</v>
      </c>
    </row>
    <row r="340" spans="1:27" x14ac:dyDescent="0.35">
      <c r="A340" s="14">
        <v>374</v>
      </c>
      <c r="B340" s="12">
        <v>0.40128755364806867</v>
      </c>
      <c r="Z340" s="14">
        <v>336</v>
      </c>
      <c r="AA340" s="12">
        <v>0.75599128540305016</v>
      </c>
    </row>
    <row r="341" spans="1:27" x14ac:dyDescent="0.35">
      <c r="A341" s="14">
        <v>375</v>
      </c>
      <c r="B341" s="12">
        <v>0.42393162393162392</v>
      </c>
      <c r="Z341" s="14">
        <v>350</v>
      </c>
      <c r="AA341" s="12">
        <v>0.79234648472263425</v>
      </c>
    </row>
    <row r="342" spans="1:27" x14ac:dyDescent="0.35">
      <c r="A342" s="14">
        <v>384</v>
      </c>
      <c r="B342" s="12">
        <v>0.30452022204599521</v>
      </c>
      <c r="Z342" s="14">
        <v>372</v>
      </c>
      <c r="AA342" s="12">
        <v>0.71073094867807152</v>
      </c>
    </row>
    <row r="343" spans="1:27" x14ac:dyDescent="0.35">
      <c r="A343" s="14">
        <v>391</v>
      </c>
      <c r="B343" s="12">
        <v>0.27352221056313397</v>
      </c>
      <c r="Z343" s="14">
        <v>374</v>
      </c>
      <c r="AA343" s="12">
        <v>0.59871244635193133</v>
      </c>
    </row>
    <row r="344" spans="1:27" x14ac:dyDescent="0.35">
      <c r="A344" s="14">
        <v>397</v>
      </c>
      <c r="B344" s="12">
        <v>0.18660399529964747</v>
      </c>
      <c r="Z344" s="14">
        <v>375</v>
      </c>
      <c r="AA344" s="12">
        <v>0.57606837606837602</v>
      </c>
    </row>
    <row r="345" spans="1:27" x14ac:dyDescent="0.35">
      <c r="A345" s="14">
        <v>409</v>
      </c>
      <c r="B345" s="12">
        <v>0.20147783251231527</v>
      </c>
      <c r="Z345" s="14">
        <v>384</v>
      </c>
      <c r="AA345" s="12">
        <v>0.69547977795400473</v>
      </c>
    </row>
    <row r="346" spans="1:27" x14ac:dyDescent="0.35">
      <c r="A346" s="14">
        <v>430</v>
      </c>
      <c r="B346" s="12">
        <v>0.29788708001385522</v>
      </c>
      <c r="Z346" s="14">
        <v>391</v>
      </c>
      <c r="AA346" s="12">
        <v>0.72647778943686603</v>
      </c>
    </row>
    <row r="347" spans="1:27" x14ac:dyDescent="0.35">
      <c r="A347" s="14">
        <v>447</v>
      </c>
      <c r="B347" s="12">
        <v>0.22138174483106404</v>
      </c>
      <c r="Z347" s="14">
        <v>397</v>
      </c>
      <c r="AA347" s="12">
        <v>0.81339600470035256</v>
      </c>
    </row>
    <row r="348" spans="1:27" x14ac:dyDescent="0.35">
      <c r="A348" s="14">
        <v>454</v>
      </c>
      <c r="B348" s="12">
        <v>0.24252136752136752</v>
      </c>
      <c r="Z348" s="14">
        <v>409</v>
      </c>
      <c r="AA348" s="12">
        <v>0.79852216748768479</v>
      </c>
    </row>
    <row r="349" spans="1:27" x14ac:dyDescent="0.35">
      <c r="A349" s="14">
        <v>470</v>
      </c>
      <c r="B349" s="12">
        <v>0.20510582587824569</v>
      </c>
      <c r="Z349" s="14">
        <v>430</v>
      </c>
      <c r="AA349" s="12">
        <v>0.70211291998614478</v>
      </c>
    </row>
    <row r="350" spans="1:27" x14ac:dyDescent="0.35">
      <c r="A350" s="14">
        <v>475</v>
      </c>
      <c r="B350" s="12">
        <v>0.27057818285388779</v>
      </c>
      <c r="Z350" s="14">
        <v>447</v>
      </c>
      <c r="AA350" s="12">
        <v>0.77861825516893601</v>
      </c>
    </row>
    <row r="351" spans="1:27" x14ac:dyDescent="0.35">
      <c r="A351" s="14">
        <v>484</v>
      </c>
      <c r="B351" s="12">
        <v>0.23842364532019705</v>
      </c>
      <c r="Z351" s="14">
        <v>454</v>
      </c>
      <c r="AA351" s="12">
        <v>0.75747863247863245</v>
      </c>
    </row>
    <row r="352" spans="1:27" x14ac:dyDescent="0.35">
      <c r="A352" s="14">
        <v>511</v>
      </c>
      <c r="B352" s="12">
        <v>0.44903339191564146</v>
      </c>
      <c r="Z352" s="14">
        <v>470</v>
      </c>
      <c r="AA352" s="12">
        <v>0.79489417412175434</v>
      </c>
    </row>
    <row r="353" spans="1:27" x14ac:dyDescent="0.35">
      <c r="A353" s="14">
        <v>532</v>
      </c>
      <c r="B353" s="12">
        <v>0.2684157416750757</v>
      </c>
      <c r="Z353" s="14">
        <v>475</v>
      </c>
      <c r="AA353" s="12">
        <v>0.72942181714611221</v>
      </c>
    </row>
    <row r="354" spans="1:27" x14ac:dyDescent="0.35">
      <c r="A354" s="14">
        <v>549</v>
      </c>
      <c r="B354" s="12">
        <v>0.49348314606741572</v>
      </c>
      <c r="Z354" s="14">
        <v>484</v>
      </c>
      <c r="AA354" s="12">
        <v>0.76157635467980289</v>
      </c>
    </row>
    <row r="355" spans="1:27" x14ac:dyDescent="0.35">
      <c r="A355" s="14">
        <v>554</v>
      </c>
      <c r="B355" s="12">
        <v>0.33966891477621092</v>
      </c>
      <c r="Z355" s="14">
        <v>511</v>
      </c>
      <c r="AA355" s="12">
        <v>0.55096660808435849</v>
      </c>
    </row>
    <row r="356" spans="1:27" x14ac:dyDescent="0.35">
      <c r="A356" s="14">
        <v>565</v>
      </c>
      <c r="B356" s="12">
        <v>0.34184914841849151</v>
      </c>
      <c r="Z356" s="14">
        <v>532</v>
      </c>
      <c r="AA356" s="12">
        <v>0.73158425832492435</v>
      </c>
    </row>
    <row r="357" spans="1:27" x14ac:dyDescent="0.35">
      <c r="A357" s="14">
        <v>604</v>
      </c>
      <c r="B357" s="12">
        <v>0.21076706544686841</v>
      </c>
      <c r="Z357" s="14">
        <v>549</v>
      </c>
      <c r="AA357" s="12">
        <v>0.50651685393258428</v>
      </c>
    </row>
    <row r="358" spans="1:27" x14ac:dyDescent="0.35">
      <c r="A358" s="14">
        <v>630</v>
      </c>
      <c r="B358" s="12">
        <v>0.34081687855017584</v>
      </c>
      <c r="Z358" s="14">
        <v>554</v>
      </c>
      <c r="AA358" s="12">
        <v>0.66033108522378914</v>
      </c>
    </row>
    <row r="359" spans="1:27" x14ac:dyDescent="0.35">
      <c r="A359" s="14">
        <v>641</v>
      </c>
      <c r="B359" s="12">
        <v>0.36639039725635897</v>
      </c>
      <c r="Z359" s="14">
        <v>565</v>
      </c>
      <c r="AA359" s="12">
        <v>0.65815085158150843</v>
      </c>
    </row>
    <row r="360" spans="1:27" x14ac:dyDescent="0.35">
      <c r="A360" s="14">
        <v>664</v>
      </c>
      <c r="B360" s="12">
        <v>0.28882122662026966</v>
      </c>
      <c r="Z360" s="14">
        <v>604</v>
      </c>
      <c r="AA360" s="12">
        <v>0.78923293455313159</v>
      </c>
    </row>
    <row r="361" spans="1:27" x14ac:dyDescent="0.35">
      <c r="A361" s="14">
        <v>682</v>
      </c>
      <c r="B361" s="12">
        <v>0.38026205742960689</v>
      </c>
      <c r="Z361" s="14">
        <v>630</v>
      </c>
      <c r="AA361" s="12">
        <v>0.65918312144982416</v>
      </c>
    </row>
    <row r="362" spans="1:27" x14ac:dyDescent="0.35">
      <c r="A362" s="14">
        <v>694</v>
      </c>
      <c r="B362" s="12">
        <v>0.32182287996241482</v>
      </c>
      <c r="Z362" s="14">
        <v>641</v>
      </c>
      <c r="AA362" s="12">
        <v>0.63360960274364109</v>
      </c>
    </row>
    <row r="363" spans="1:27" x14ac:dyDescent="0.35">
      <c r="A363" s="14">
        <v>725</v>
      </c>
      <c r="B363" s="12">
        <v>0.26851851851851855</v>
      </c>
      <c r="Z363" s="14">
        <v>664</v>
      </c>
      <c r="AA363" s="12">
        <v>0.71117877337973034</v>
      </c>
    </row>
    <row r="364" spans="1:27" x14ac:dyDescent="0.35">
      <c r="A364" s="14">
        <v>745</v>
      </c>
      <c r="B364" s="12">
        <v>0.32091320267068707</v>
      </c>
      <c r="Z364" s="14">
        <v>682</v>
      </c>
      <c r="AA364" s="12">
        <v>0.61973794257039305</v>
      </c>
    </row>
    <row r="365" spans="1:27" x14ac:dyDescent="0.35">
      <c r="A365" s="14">
        <v>754</v>
      </c>
      <c r="B365" s="12">
        <v>0.24043367346938777</v>
      </c>
      <c r="Z365" s="14">
        <v>694</v>
      </c>
      <c r="AA365" s="12">
        <v>0.67817712003758523</v>
      </c>
    </row>
    <row r="366" spans="1:27" x14ac:dyDescent="0.35">
      <c r="A366" s="14">
        <v>850</v>
      </c>
      <c r="B366" s="12">
        <v>0.36070443454275408</v>
      </c>
      <c r="Z366" s="14">
        <v>725</v>
      </c>
      <c r="AA366" s="12">
        <v>0.7314814814814814</v>
      </c>
    </row>
    <row r="367" spans="1:27" x14ac:dyDescent="0.35">
      <c r="A367" s="14">
        <v>878</v>
      </c>
      <c r="B367" s="12">
        <v>0.32434429257480607</v>
      </c>
      <c r="Z367" s="14">
        <v>745</v>
      </c>
      <c r="AA367" s="12">
        <v>0.67908679732931287</v>
      </c>
    </row>
    <row r="368" spans="1:27" x14ac:dyDescent="0.35">
      <c r="A368" s="14">
        <v>923</v>
      </c>
      <c r="B368" s="12">
        <v>0.27127112417340193</v>
      </c>
      <c r="Z368" s="14">
        <v>754</v>
      </c>
      <c r="AA368" s="12">
        <v>0.75956632653061229</v>
      </c>
    </row>
    <row r="369" spans="1:27" x14ac:dyDescent="0.35">
      <c r="A369" s="14">
        <v>1095</v>
      </c>
      <c r="B369" s="12">
        <v>0.25268258913118724</v>
      </c>
      <c r="Z369" s="14">
        <v>850</v>
      </c>
      <c r="AA369" s="12">
        <v>0.63929556545724586</v>
      </c>
    </row>
    <row r="370" spans="1:27" x14ac:dyDescent="0.35">
      <c r="A370" s="14">
        <v>1159</v>
      </c>
      <c r="B370" s="12">
        <v>0.24163452517460648</v>
      </c>
      <c r="Z370" s="14">
        <v>878</v>
      </c>
      <c r="AA370" s="12">
        <v>0.67565570742519387</v>
      </c>
    </row>
    <row r="371" spans="1:27" x14ac:dyDescent="0.35">
      <c r="A371" s="14">
        <v>1176</v>
      </c>
      <c r="B371" s="12">
        <v>0.29414707353676839</v>
      </c>
      <c r="Z371" s="14">
        <v>923</v>
      </c>
      <c r="AA371" s="12">
        <v>0.72872887582659807</v>
      </c>
    </row>
    <row r="372" spans="1:27" x14ac:dyDescent="0.35">
      <c r="A372" s="14">
        <v>1181</v>
      </c>
      <c r="B372" s="12">
        <v>0.30715214564369309</v>
      </c>
      <c r="Z372" s="14">
        <v>1095</v>
      </c>
      <c r="AA372" s="12">
        <v>0.74731741086881276</v>
      </c>
    </row>
    <row r="373" spans="1:27" x14ac:dyDescent="0.35">
      <c r="A373" s="14">
        <v>1191</v>
      </c>
      <c r="B373" s="12">
        <v>0.32359733731829915</v>
      </c>
      <c r="Z373" s="14">
        <v>1159</v>
      </c>
      <c r="AA373" s="12">
        <v>0.75836547482539352</v>
      </c>
    </row>
    <row r="374" spans="1:27" x14ac:dyDescent="0.35">
      <c r="A374" s="14">
        <v>1239</v>
      </c>
      <c r="B374" s="12">
        <v>0.18781264211005003</v>
      </c>
      <c r="Z374" s="14">
        <v>1176</v>
      </c>
      <c r="AA374" s="12">
        <v>0.70585292646323161</v>
      </c>
    </row>
    <row r="375" spans="1:27" x14ac:dyDescent="0.35">
      <c r="A375" s="14">
        <v>1356</v>
      </c>
      <c r="B375" s="12">
        <v>0.31104484459226978</v>
      </c>
      <c r="Z375" s="14">
        <v>1181</v>
      </c>
      <c r="AA375" s="12">
        <v>0.69284785435630691</v>
      </c>
    </row>
    <row r="376" spans="1:27" x14ac:dyDescent="0.35">
      <c r="A376" s="14">
        <v>1441</v>
      </c>
      <c r="B376" s="12">
        <v>0.25439138494130109</v>
      </c>
      <c r="Z376" s="14">
        <v>1191</v>
      </c>
      <c r="AA376" s="12">
        <v>0.67640266268170079</v>
      </c>
    </row>
    <row r="377" spans="1:27" x14ac:dyDescent="0.35">
      <c r="A377" s="14">
        <v>1444</v>
      </c>
      <c r="B377" s="12">
        <v>0.28108001186826231</v>
      </c>
      <c r="Z377" s="14">
        <v>1239</v>
      </c>
      <c r="AA377" s="12">
        <v>0.81218735788995</v>
      </c>
    </row>
    <row r="378" spans="1:27" x14ac:dyDescent="0.35">
      <c r="A378" s="14">
        <v>1911</v>
      </c>
      <c r="B378" s="12">
        <v>0.29064638783269964</v>
      </c>
      <c r="Z378" s="14">
        <v>1356</v>
      </c>
      <c r="AA378" s="12">
        <v>0.68895515540773022</v>
      </c>
    </row>
    <row r="379" spans="1:27" x14ac:dyDescent="0.35">
      <c r="A379" s="14">
        <v>2564</v>
      </c>
      <c r="B379" s="12">
        <v>0.32748160578288371</v>
      </c>
      <c r="Z379" s="14">
        <v>1441</v>
      </c>
      <c r="AA379" s="12">
        <v>0.74560861505869891</v>
      </c>
    </row>
    <row r="380" spans="1:27" x14ac:dyDescent="0.35">
      <c r="A380" s="14" t="s">
        <v>159</v>
      </c>
      <c r="B380" s="12">
        <v>0.28932646782805138</v>
      </c>
      <c r="Z380" s="14">
        <v>1444</v>
      </c>
      <c r="AA380" s="12">
        <v>0.71891998813173763</v>
      </c>
    </row>
    <row r="381" spans="1:27" x14ac:dyDescent="0.35">
      <c r="Z381" s="14">
        <v>1911</v>
      </c>
      <c r="AA381" s="12">
        <v>0.70935361216730031</v>
      </c>
    </row>
    <row r="382" spans="1:27" x14ac:dyDescent="0.35">
      <c r="Z382" s="14">
        <v>2564</v>
      </c>
      <c r="AA382" s="12">
        <v>0.67251839421711623</v>
      </c>
    </row>
    <row r="383" spans="1:27" x14ac:dyDescent="0.35">
      <c r="Z383" s="14" t="s">
        <v>159</v>
      </c>
      <c r="AA383" s="12">
        <v>0.7106735321719484</v>
      </c>
    </row>
    <row r="385" spans="2:2" x14ac:dyDescent="0.35">
      <c r="B385" s="12"/>
    </row>
  </sheetData>
  <pageMargins left="0.7" right="0.7" top="0.75" bottom="0.75" header="0.3" footer="0.3"/>
  <pageSetup orientation="portrait" r:id="rId13"/>
  <drawing r:id="rId14"/>
  <tableParts count="1">
    <tablePart r:id="rId15"/>
  </tableParts>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ABB1-D416-4CDF-BBD7-FB97CF8F3079}">
  <dimension ref="A1"/>
  <sheetViews>
    <sheetView showGridLines="0" showRowColHeaders="0" tabSelected="1" topLeftCell="G1" zoomScale="59" zoomScaleNormal="59" workbookViewId="0">
      <selection activeCell="AH40" sqref="AH4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A78F1B-9C4A-4CEC-B93E-3191AF6503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t:lpstr>
      <vt:lpstr>PCU</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2026-01-11T18:40:43Z</dcterms:created>
  <dcterms:modified xsi:type="dcterms:W3CDTF">2026-02-22T16:37:20Z</dcterms:modified>
  <cp:category/>
  <cp:contentStatus/>
</cp:coreProperties>
</file>